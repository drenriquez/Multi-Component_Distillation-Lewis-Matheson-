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Enrico\Desktop\TEORIA DELLO SVILLUPPO\"/>
    </mc:Choice>
  </mc:AlternateContent>
  <xr:revisionPtr revIDLastSave="0" documentId="13_ncr:1_{7559EF49-C8CB-460D-92DF-2EE768D27BC7}" xr6:coauthVersionLast="45" xr6:coauthVersionMax="45" xr10:uidLastSave="{00000000-0000-0000-0000-000000000000}"/>
  <bookViews>
    <workbookView xWindow="-120" yWindow="-120" windowWidth="24240" windowHeight="13140" xr2:uid="{AF4ADD7E-50EB-48A7-BB9A-E6100CF9102B}"/>
  </bookViews>
  <sheets>
    <sheet name="Foglio1" sheetId="1" r:id="rId1"/>
    <sheet name="Foglio2" sheetId="2" r:id="rId2"/>
  </sheets>
  <calcPr calcId="181029" iterateDelta="1.0000000000000001E-5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3" i="1" l="1"/>
  <c r="L63" i="1"/>
  <c r="L120" i="1"/>
  <c r="L119" i="1"/>
  <c r="L130" i="1"/>
  <c r="L83" i="1"/>
  <c r="L140" i="1"/>
  <c r="L74" i="1"/>
  <c r="L64" i="1"/>
  <c r="L121" i="1"/>
  <c r="L131" i="1"/>
  <c r="L84" i="1"/>
  <c r="L141" i="1"/>
  <c r="L75" i="1"/>
  <c r="L65" i="1"/>
  <c r="L122" i="1"/>
  <c r="L132" i="1"/>
  <c r="L85" i="1"/>
  <c r="L142" i="1"/>
  <c r="L76" i="1"/>
  <c r="L66" i="1"/>
  <c r="L123" i="1"/>
  <c r="L133" i="1"/>
  <c r="L86" i="1"/>
  <c r="L143" i="1"/>
  <c r="L77" i="1"/>
  <c r="L67" i="1"/>
  <c r="L124" i="1"/>
  <c r="L134" i="1"/>
  <c r="L87" i="1"/>
  <c r="L144" i="1"/>
  <c r="L78" i="1"/>
  <c r="L68" i="1"/>
  <c r="L125" i="1"/>
  <c r="L135" i="1"/>
  <c r="L88" i="1"/>
  <c r="L145" i="1"/>
  <c r="L79" i="1"/>
  <c r="L69" i="1"/>
  <c r="L126" i="1"/>
  <c r="L136" i="1"/>
  <c r="L89" i="1"/>
  <c r="L146" i="1"/>
  <c r="L80" i="1"/>
  <c r="L70" i="1"/>
  <c r="L127" i="1"/>
  <c r="L137" i="1"/>
  <c r="L90" i="1"/>
  <c r="L147" i="1"/>
  <c r="L81" i="1"/>
  <c r="L71" i="1"/>
  <c r="L128" i="1"/>
  <c r="L138" i="1"/>
  <c r="L91" i="1"/>
  <c r="L148" i="1"/>
  <c r="L82" i="1"/>
  <c r="L72" i="1"/>
  <c r="L129" i="1"/>
  <c r="L139" i="1"/>
  <c r="L92" i="1"/>
  <c r="L149" i="1"/>
  <c r="L150" i="1"/>
  <c r="L39" i="1"/>
  <c r="L117" i="1"/>
  <c r="L40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6" i="1"/>
  <c r="L51" i="1"/>
  <c r="L41" i="1"/>
  <c r="L61" i="1"/>
  <c r="L50" i="1"/>
  <c r="L60" i="1"/>
  <c r="L49" i="1"/>
  <c r="L59" i="1"/>
  <c r="L48" i="1"/>
  <c r="L58" i="1"/>
  <c r="L47" i="1"/>
  <c r="L57" i="1"/>
  <c r="L46" i="1"/>
  <c r="L56" i="1"/>
  <c r="L45" i="1"/>
  <c r="L55" i="1"/>
  <c r="L44" i="1"/>
  <c r="L54" i="1"/>
  <c r="L43" i="1"/>
  <c r="L53" i="1"/>
  <c r="L42" i="1"/>
  <c r="L52" i="1"/>
  <c r="K73" i="1"/>
  <c r="K63" i="1"/>
  <c r="K120" i="1"/>
  <c r="K119" i="1"/>
  <c r="K130" i="1"/>
  <c r="K83" i="1"/>
  <c r="K140" i="1"/>
  <c r="K74" i="1"/>
  <c r="K64" i="1"/>
  <c r="K121" i="1"/>
  <c r="K131" i="1"/>
  <c r="K84" i="1"/>
  <c r="K141" i="1"/>
  <c r="K75" i="1"/>
  <c r="K65" i="1"/>
  <c r="K122" i="1"/>
  <c r="K132" i="1"/>
  <c r="K85" i="1"/>
  <c r="K142" i="1"/>
  <c r="K76" i="1"/>
  <c r="K66" i="1"/>
  <c r="K123" i="1"/>
  <c r="K133" i="1"/>
  <c r="K86" i="1"/>
  <c r="K143" i="1"/>
  <c r="K77" i="1"/>
  <c r="K67" i="1"/>
  <c r="K124" i="1"/>
  <c r="K134" i="1"/>
  <c r="K87" i="1"/>
  <c r="K144" i="1"/>
  <c r="K78" i="1"/>
  <c r="K68" i="1"/>
  <c r="K125" i="1"/>
  <c r="K135" i="1"/>
  <c r="K88" i="1"/>
  <c r="K145" i="1"/>
  <c r="K79" i="1"/>
  <c r="K69" i="1"/>
  <c r="K126" i="1"/>
  <c r="K136" i="1"/>
  <c r="K89" i="1"/>
  <c r="K146" i="1"/>
  <c r="K80" i="1"/>
  <c r="K70" i="1"/>
  <c r="K127" i="1"/>
  <c r="K137" i="1"/>
  <c r="K90" i="1"/>
  <c r="K147" i="1"/>
  <c r="K81" i="1"/>
  <c r="K71" i="1"/>
  <c r="K128" i="1"/>
  <c r="K138" i="1"/>
  <c r="K91" i="1"/>
  <c r="K148" i="1"/>
  <c r="K82" i="1"/>
  <c r="K72" i="1"/>
  <c r="K129" i="1"/>
  <c r="K139" i="1"/>
  <c r="K92" i="1"/>
  <c r="K149" i="1"/>
  <c r="K150" i="1"/>
  <c r="K39" i="1"/>
  <c r="K117" i="1"/>
  <c r="K40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6" i="1"/>
  <c r="K51" i="1"/>
  <c r="K41" i="1"/>
  <c r="K61" i="1"/>
  <c r="K50" i="1"/>
  <c r="K60" i="1"/>
  <c r="K49" i="1"/>
  <c r="K59" i="1"/>
  <c r="K48" i="1"/>
  <c r="K58" i="1"/>
  <c r="K47" i="1"/>
  <c r="K57" i="1"/>
  <c r="K46" i="1"/>
  <c r="K56" i="1"/>
  <c r="K45" i="1"/>
  <c r="K55" i="1"/>
  <c r="K44" i="1"/>
  <c r="K54" i="1"/>
  <c r="K43" i="1"/>
  <c r="K53" i="1"/>
  <c r="K42" i="1"/>
  <c r="K52" i="1"/>
  <c r="J73" i="1"/>
  <c r="J63" i="1"/>
  <c r="J120" i="1"/>
  <c r="J119" i="1"/>
  <c r="J130" i="1"/>
  <c r="J83" i="1"/>
  <c r="J140" i="1"/>
  <c r="J74" i="1"/>
  <c r="J64" i="1"/>
  <c r="J121" i="1"/>
  <c r="J131" i="1"/>
  <c r="J84" i="1"/>
  <c r="J141" i="1"/>
  <c r="J75" i="1"/>
  <c r="J65" i="1"/>
  <c r="J122" i="1"/>
  <c r="J132" i="1"/>
  <c r="J85" i="1"/>
  <c r="J142" i="1"/>
  <c r="J76" i="1"/>
  <c r="J66" i="1"/>
  <c r="J123" i="1"/>
  <c r="J133" i="1"/>
  <c r="J86" i="1"/>
  <c r="J143" i="1"/>
  <c r="J77" i="1"/>
  <c r="J67" i="1"/>
  <c r="J124" i="1"/>
  <c r="J134" i="1"/>
  <c r="J87" i="1"/>
  <c r="J144" i="1"/>
  <c r="J78" i="1"/>
  <c r="J68" i="1"/>
  <c r="J125" i="1"/>
  <c r="J135" i="1"/>
  <c r="J88" i="1"/>
  <c r="J145" i="1"/>
  <c r="J79" i="1"/>
  <c r="J69" i="1"/>
  <c r="J126" i="1"/>
  <c r="J136" i="1"/>
  <c r="J89" i="1"/>
  <c r="J146" i="1"/>
  <c r="J80" i="1"/>
  <c r="J70" i="1"/>
  <c r="J127" i="1"/>
  <c r="J137" i="1"/>
  <c r="J90" i="1"/>
  <c r="J147" i="1"/>
  <c r="J81" i="1"/>
  <c r="J71" i="1"/>
  <c r="J128" i="1"/>
  <c r="J138" i="1"/>
  <c r="J91" i="1"/>
  <c r="J148" i="1"/>
  <c r="J82" i="1"/>
  <c r="J72" i="1"/>
  <c r="J129" i="1"/>
  <c r="J139" i="1"/>
  <c r="J92" i="1"/>
  <c r="J149" i="1"/>
  <c r="J150" i="1"/>
  <c r="J39" i="1"/>
  <c r="J117" i="1"/>
  <c r="J40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6" i="1"/>
  <c r="J51" i="1"/>
  <c r="J41" i="1"/>
  <c r="J61" i="1"/>
  <c r="J50" i="1"/>
  <c r="J60" i="1"/>
  <c r="J49" i="1"/>
  <c r="J59" i="1"/>
  <c r="J48" i="1"/>
  <c r="J58" i="1"/>
  <c r="J47" i="1"/>
  <c r="J57" i="1"/>
  <c r="J46" i="1"/>
  <c r="J56" i="1"/>
  <c r="J45" i="1"/>
  <c r="J55" i="1"/>
  <c r="J44" i="1"/>
  <c r="J54" i="1"/>
  <c r="J43" i="1"/>
  <c r="J53" i="1"/>
  <c r="J42" i="1"/>
  <c r="J52" i="1"/>
  <c r="I73" i="1"/>
  <c r="I63" i="1"/>
  <c r="I120" i="1"/>
  <c r="I119" i="1"/>
  <c r="I130" i="1"/>
  <c r="I83" i="1"/>
  <c r="I140" i="1"/>
  <c r="I74" i="1"/>
  <c r="I64" i="1"/>
  <c r="I121" i="1"/>
  <c r="I131" i="1"/>
  <c r="I84" i="1"/>
  <c r="I141" i="1"/>
  <c r="I75" i="1"/>
  <c r="I65" i="1"/>
  <c r="I122" i="1"/>
  <c r="I132" i="1"/>
  <c r="I85" i="1"/>
  <c r="I142" i="1"/>
  <c r="I76" i="1"/>
  <c r="I66" i="1"/>
  <c r="I123" i="1"/>
  <c r="I133" i="1"/>
  <c r="I86" i="1"/>
  <c r="I143" i="1"/>
  <c r="I77" i="1"/>
  <c r="I67" i="1"/>
  <c r="I124" i="1"/>
  <c r="I134" i="1"/>
  <c r="I87" i="1"/>
  <c r="I144" i="1"/>
  <c r="I78" i="1"/>
  <c r="I68" i="1"/>
  <c r="I125" i="1"/>
  <c r="I135" i="1"/>
  <c r="I88" i="1"/>
  <c r="I145" i="1"/>
  <c r="I79" i="1"/>
  <c r="I69" i="1"/>
  <c r="I126" i="1"/>
  <c r="I136" i="1"/>
  <c r="I89" i="1"/>
  <c r="I146" i="1"/>
  <c r="I80" i="1"/>
  <c r="I70" i="1"/>
  <c r="I127" i="1"/>
  <c r="I137" i="1"/>
  <c r="I90" i="1"/>
  <c r="I147" i="1"/>
  <c r="I81" i="1"/>
  <c r="I71" i="1"/>
  <c r="I128" i="1"/>
  <c r="I138" i="1"/>
  <c r="I91" i="1"/>
  <c r="I148" i="1"/>
  <c r="I82" i="1"/>
  <c r="I72" i="1"/>
  <c r="I129" i="1"/>
  <c r="I139" i="1"/>
  <c r="I92" i="1"/>
  <c r="I149" i="1"/>
  <c r="I150" i="1"/>
  <c r="I39" i="1"/>
  <c r="I117" i="1"/>
  <c r="I40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6" i="1"/>
  <c r="I51" i="1"/>
  <c r="I41" i="1"/>
  <c r="I61" i="1"/>
  <c r="I50" i="1"/>
  <c r="I60" i="1"/>
  <c r="I49" i="1"/>
  <c r="I59" i="1"/>
  <c r="I48" i="1"/>
  <c r="I58" i="1"/>
  <c r="I47" i="1"/>
  <c r="I57" i="1"/>
  <c r="I46" i="1"/>
  <c r="I56" i="1"/>
  <c r="I45" i="1"/>
  <c r="I55" i="1"/>
  <c r="I44" i="1"/>
  <c r="I54" i="1"/>
  <c r="I43" i="1"/>
  <c r="I53" i="1"/>
  <c r="I42" i="1"/>
  <c r="I52" i="1"/>
  <c r="H73" i="1"/>
  <c r="H63" i="1"/>
  <c r="H120" i="1"/>
  <c r="H119" i="1"/>
  <c r="H130" i="1"/>
  <c r="H83" i="1"/>
  <c r="H140" i="1"/>
  <c r="H74" i="1"/>
  <c r="H64" i="1"/>
  <c r="H121" i="1"/>
  <c r="H131" i="1"/>
  <c r="H84" i="1"/>
  <c r="H141" i="1"/>
  <c r="H75" i="1"/>
  <c r="H65" i="1"/>
  <c r="H122" i="1"/>
  <c r="H132" i="1"/>
  <c r="H85" i="1"/>
  <c r="H142" i="1"/>
  <c r="H76" i="1"/>
  <c r="H66" i="1"/>
  <c r="H123" i="1"/>
  <c r="H133" i="1"/>
  <c r="H86" i="1"/>
  <c r="H143" i="1"/>
  <c r="H77" i="1"/>
  <c r="H67" i="1"/>
  <c r="H124" i="1"/>
  <c r="H134" i="1"/>
  <c r="H87" i="1"/>
  <c r="H144" i="1"/>
  <c r="H78" i="1"/>
  <c r="H68" i="1"/>
  <c r="H125" i="1"/>
  <c r="H135" i="1"/>
  <c r="H88" i="1"/>
  <c r="H145" i="1"/>
  <c r="H79" i="1"/>
  <c r="H69" i="1"/>
  <c r="H126" i="1"/>
  <c r="H136" i="1"/>
  <c r="H89" i="1"/>
  <c r="H146" i="1"/>
  <c r="H80" i="1"/>
  <c r="H70" i="1"/>
  <c r="H127" i="1"/>
  <c r="H137" i="1"/>
  <c r="H90" i="1"/>
  <c r="H147" i="1"/>
  <c r="H81" i="1"/>
  <c r="H71" i="1"/>
  <c r="H128" i="1"/>
  <c r="H138" i="1"/>
  <c r="H91" i="1"/>
  <c r="H148" i="1"/>
  <c r="H82" i="1"/>
  <c r="H72" i="1"/>
  <c r="H129" i="1"/>
  <c r="H139" i="1"/>
  <c r="H92" i="1"/>
  <c r="H149" i="1"/>
  <c r="H150" i="1"/>
  <c r="H39" i="1"/>
  <c r="H117" i="1"/>
  <c r="H40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6" i="1"/>
  <c r="H51" i="1"/>
  <c r="H41" i="1"/>
  <c r="H61" i="1"/>
  <c r="H50" i="1"/>
  <c r="H60" i="1"/>
  <c r="H49" i="1"/>
  <c r="H59" i="1"/>
  <c r="H48" i="1"/>
  <c r="H58" i="1"/>
  <c r="H47" i="1"/>
  <c r="H57" i="1"/>
  <c r="H46" i="1"/>
  <c r="H56" i="1"/>
  <c r="H45" i="1"/>
  <c r="H55" i="1"/>
  <c r="H44" i="1"/>
  <c r="H54" i="1"/>
  <c r="H43" i="1"/>
  <c r="H53" i="1"/>
  <c r="H42" i="1"/>
  <c r="H52" i="1"/>
  <c r="G73" i="1"/>
  <c r="G63" i="1"/>
  <c r="G120" i="1"/>
  <c r="G119" i="1"/>
  <c r="G130" i="1"/>
  <c r="G83" i="1"/>
  <c r="G140" i="1"/>
  <c r="G74" i="1"/>
  <c r="G64" i="1"/>
  <c r="G121" i="1"/>
  <c r="G131" i="1"/>
  <c r="G84" i="1"/>
  <c r="G141" i="1"/>
  <c r="G75" i="1"/>
  <c r="G65" i="1"/>
  <c r="G122" i="1"/>
  <c r="G132" i="1"/>
  <c r="G85" i="1"/>
  <c r="G142" i="1"/>
  <c r="G76" i="1"/>
  <c r="G66" i="1"/>
  <c r="G123" i="1"/>
  <c r="G133" i="1"/>
  <c r="G86" i="1"/>
  <c r="G143" i="1"/>
  <c r="G77" i="1"/>
  <c r="G67" i="1"/>
  <c r="G124" i="1"/>
  <c r="G134" i="1"/>
  <c r="G87" i="1"/>
  <c r="G144" i="1"/>
  <c r="G78" i="1"/>
  <c r="G68" i="1"/>
  <c r="G125" i="1"/>
  <c r="G135" i="1"/>
  <c r="G88" i="1"/>
  <c r="G145" i="1"/>
  <c r="G79" i="1"/>
  <c r="G69" i="1"/>
  <c r="G126" i="1"/>
  <c r="G136" i="1"/>
  <c r="G89" i="1"/>
  <c r="G146" i="1"/>
  <c r="G80" i="1"/>
  <c r="G70" i="1"/>
  <c r="G127" i="1"/>
  <c r="G137" i="1"/>
  <c r="G90" i="1"/>
  <c r="G147" i="1"/>
  <c r="G81" i="1"/>
  <c r="G71" i="1"/>
  <c r="G128" i="1"/>
  <c r="G138" i="1"/>
  <c r="G91" i="1"/>
  <c r="G148" i="1"/>
  <c r="G82" i="1"/>
  <c r="G72" i="1"/>
  <c r="G129" i="1"/>
  <c r="G139" i="1"/>
  <c r="G92" i="1"/>
  <c r="G149" i="1"/>
  <c r="G150" i="1"/>
  <c r="G39" i="1"/>
  <c r="G117" i="1"/>
  <c r="G40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6" i="1"/>
  <c r="G51" i="1"/>
  <c r="G41" i="1"/>
  <c r="G61" i="1"/>
  <c r="G50" i="1"/>
  <c r="G60" i="1"/>
  <c r="G49" i="1"/>
  <c r="G59" i="1"/>
  <c r="G48" i="1"/>
  <c r="G58" i="1"/>
  <c r="G47" i="1"/>
  <c r="G57" i="1"/>
  <c r="G46" i="1"/>
  <c r="G56" i="1"/>
  <c r="G45" i="1"/>
  <c r="G55" i="1"/>
  <c r="G44" i="1"/>
  <c r="G54" i="1"/>
  <c r="G43" i="1"/>
  <c r="G53" i="1"/>
  <c r="G42" i="1"/>
  <c r="G52" i="1"/>
  <c r="F73" i="1"/>
  <c r="F63" i="1"/>
  <c r="F120" i="1"/>
  <c r="F119" i="1"/>
  <c r="F130" i="1"/>
  <c r="F83" i="1"/>
  <c r="F140" i="1"/>
  <c r="F74" i="1"/>
  <c r="F64" i="1"/>
  <c r="F121" i="1"/>
  <c r="F131" i="1"/>
  <c r="F84" i="1"/>
  <c r="F141" i="1"/>
  <c r="F75" i="1"/>
  <c r="F65" i="1"/>
  <c r="F122" i="1"/>
  <c r="F132" i="1"/>
  <c r="F85" i="1"/>
  <c r="F142" i="1"/>
  <c r="F76" i="1"/>
  <c r="F66" i="1"/>
  <c r="F123" i="1"/>
  <c r="F133" i="1"/>
  <c r="F86" i="1"/>
  <c r="F143" i="1"/>
  <c r="F77" i="1"/>
  <c r="F67" i="1"/>
  <c r="F124" i="1"/>
  <c r="F134" i="1"/>
  <c r="F87" i="1"/>
  <c r="F144" i="1"/>
  <c r="F78" i="1"/>
  <c r="F68" i="1"/>
  <c r="F125" i="1"/>
  <c r="F135" i="1"/>
  <c r="F88" i="1"/>
  <c r="F145" i="1"/>
  <c r="F79" i="1"/>
  <c r="F69" i="1"/>
  <c r="F126" i="1"/>
  <c r="F136" i="1"/>
  <c r="F89" i="1"/>
  <c r="F146" i="1"/>
  <c r="F80" i="1"/>
  <c r="F70" i="1"/>
  <c r="F127" i="1"/>
  <c r="F137" i="1"/>
  <c r="F90" i="1"/>
  <c r="F147" i="1"/>
  <c r="F81" i="1"/>
  <c r="F71" i="1"/>
  <c r="F128" i="1"/>
  <c r="F138" i="1"/>
  <c r="F91" i="1"/>
  <c r="F148" i="1"/>
  <c r="F82" i="1"/>
  <c r="F72" i="1"/>
  <c r="F129" i="1"/>
  <c r="F139" i="1"/>
  <c r="F92" i="1"/>
  <c r="F149" i="1"/>
  <c r="F150" i="1"/>
  <c r="F39" i="1"/>
  <c r="F117" i="1"/>
  <c r="F40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6" i="1"/>
  <c r="F51" i="1"/>
  <c r="F41" i="1"/>
  <c r="F61" i="1"/>
  <c r="F50" i="1"/>
  <c r="F60" i="1"/>
  <c r="F49" i="1"/>
  <c r="F59" i="1"/>
  <c r="F48" i="1"/>
  <c r="F58" i="1"/>
  <c r="F47" i="1"/>
  <c r="F57" i="1"/>
  <c r="F46" i="1"/>
  <c r="F56" i="1"/>
  <c r="F45" i="1"/>
  <c r="F55" i="1"/>
  <c r="F44" i="1"/>
  <c r="F54" i="1"/>
  <c r="F43" i="1"/>
  <c r="F53" i="1"/>
  <c r="F42" i="1"/>
  <c r="F52" i="1"/>
  <c r="E73" i="1"/>
  <c r="E63" i="1"/>
  <c r="E120" i="1"/>
  <c r="E119" i="1"/>
  <c r="E130" i="1"/>
  <c r="E83" i="1"/>
  <c r="E140" i="1"/>
  <c r="E74" i="1"/>
  <c r="E64" i="1"/>
  <c r="E121" i="1"/>
  <c r="E131" i="1"/>
  <c r="E84" i="1"/>
  <c r="E141" i="1"/>
  <c r="E75" i="1"/>
  <c r="E65" i="1"/>
  <c r="E122" i="1"/>
  <c r="E132" i="1"/>
  <c r="E85" i="1"/>
  <c r="E142" i="1"/>
  <c r="E76" i="1"/>
  <c r="E66" i="1"/>
  <c r="E123" i="1"/>
  <c r="E133" i="1"/>
  <c r="E86" i="1"/>
  <c r="E143" i="1"/>
  <c r="E77" i="1"/>
  <c r="E67" i="1"/>
  <c r="E124" i="1"/>
  <c r="E134" i="1"/>
  <c r="E87" i="1"/>
  <c r="E144" i="1"/>
  <c r="E78" i="1"/>
  <c r="E68" i="1"/>
  <c r="E125" i="1"/>
  <c r="E135" i="1"/>
  <c r="E88" i="1"/>
  <c r="E145" i="1"/>
  <c r="E79" i="1"/>
  <c r="E69" i="1"/>
  <c r="E126" i="1"/>
  <c r="E136" i="1"/>
  <c r="E89" i="1"/>
  <c r="E146" i="1"/>
  <c r="E80" i="1"/>
  <c r="E70" i="1"/>
  <c r="E127" i="1"/>
  <c r="E137" i="1"/>
  <c r="E90" i="1"/>
  <c r="E147" i="1"/>
  <c r="E81" i="1"/>
  <c r="E71" i="1"/>
  <c r="E128" i="1"/>
  <c r="E138" i="1"/>
  <c r="E91" i="1"/>
  <c r="E148" i="1"/>
  <c r="E82" i="1"/>
  <c r="E72" i="1"/>
  <c r="E129" i="1"/>
  <c r="E139" i="1"/>
  <c r="E92" i="1"/>
  <c r="E149" i="1"/>
  <c r="E150" i="1"/>
  <c r="E39" i="1"/>
  <c r="E117" i="1"/>
  <c r="E40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6" i="1"/>
  <c r="E51" i="1"/>
  <c r="E41" i="1"/>
  <c r="E61" i="1"/>
  <c r="E50" i="1"/>
  <c r="E60" i="1"/>
  <c r="E49" i="1"/>
  <c r="E59" i="1"/>
  <c r="E48" i="1"/>
  <c r="E58" i="1"/>
  <c r="E47" i="1"/>
  <c r="E57" i="1"/>
  <c r="E46" i="1"/>
  <c r="E56" i="1"/>
  <c r="E45" i="1"/>
  <c r="E55" i="1"/>
  <c r="E44" i="1"/>
  <c r="E54" i="1"/>
  <c r="E43" i="1"/>
  <c r="E53" i="1"/>
  <c r="E42" i="1"/>
  <c r="E52" i="1"/>
  <c r="X35" i="1"/>
  <c r="X34" i="1"/>
  <c r="X33" i="1"/>
  <c r="X32" i="1"/>
  <c r="X31" i="1"/>
  <c r="X30" i="1"/>
  <c r="X29" i="1"/>
  <c r="X28" i="1"/>
  <c r="X27" i="1"/>
  <c r="X26" i="1"/>
  <c r="AI61" i="2"/>
  <c r="B19" i="2"/>
  <c r="R10" i="1"/>
  <c r="Z10" i="1"/>
  <c r="AD10" i="1"/>
  <c r="B20" i="2"/>
  <c r="R11" i="1"/>
  <c r="Z11" i="1"/>
  <c r="AD11" i="1"/>
  <c r="B21" i="2"/>
  <c r="R12" i="1"/>
  <c r="Z12" i="1"/>
  <c r="AD12" i="1"/>
  <c r="B22" i="2"/>
  <c r="R13" i="1"/>
  <c r="Z13" i="1"/>
  <c r="AD13" i="1"/>
  <c r="B23" i="2"/>
  <c r="R14" i="1"/>
  <c r="Z14" i="1"/>
  <c r="AD14" i="1"/>
  <c r="B24" i="2"/>
  <c r="R15" i="1"/>
  <c r="Z15" i="1"/>
  <c r="AD15" i="1"/>
  <c r="B25" i="2"/>
  <c r="R16" i="1"/>
  <c r="Z16" i="1"/>
  <c r="AD16" i="1"/>
  <c r="B26" i="2"/>
  <c r="R17" i="1"/>
  <c r="Z17" i="1"/>
  <c r="AD17" i="1"/>
  <c r="B27" i="2"/>
  <c r="R18" i="1"/>
  <c r="Z18" i="1"/>
  <c r="AD18" i="1"/>
  <c r="B28" i="2"/>
  <c r="R19" i="1"/>
  <c r="Z19" i="1"/>
  <c r="AD19" i="1"/>
  <c r="AD20" i="1"/>
  <c r="AE10" i="1"/>
  <c r="AI62" i="2"/>
  <c r="AI72" i="2"/>
  <c r="AE11" i="1"/>
  <c r="AI63" i="2"/>
  <c r="AI73" i="2"/>
  <c r="AE12" i="1"/>
  <c r="AI64" i="2"/>
  <c r="AI74" i="2"/>
  <c r="AE13" i="1"/>
  <c r="AI65" i="2"/>
  <c r="AI75" i="2"/>
  <c r="AE14" i="1"/>
  <c r="AI66" i="2"/>
  <c r="AI76" i="2"/>
  <c r="AE15" i="1"/>
  <c r="AI67" i="2"/>
  <c r="AI77" i="2"/>
  <c r="AE16" i="1"/>
  <c r="AI68" i="2"/>
  <c r="AI78" i="2"/>
  <c r="AE17" i="1"/>
  <c r="AI69" i="2"/>
  <c r="AI79" i="2"/>
  <c r="AE18" i="1"/>
  <c r="AI70" i="2"/>
  <c r="AI80" i="2"/>
  <c r="AE19" i="1"/>
  <c r="AI71" i="2"/>
  <c r="AI81" i="2"/>
  <c r="AI82" i="2"/>
  <c r="AJ59" i="2"/>
  <c r="AJ60" i="2"/>
  <c r="AJ61" i="2"/>
  <c r="AJ62" i="2"/>
  <c r="AJ72" i="2"/>
  <c r="AJ63" i="2"/>
  <c r="AJ73" i="2"/>
  <c r="AJ64" i="2"/>
  <c r="AJ74" i="2"/>
  <c r="AJ65" i="2"/>
  <c r="AJ75" i="2"/>
  <c r="AJ66" i="2"/>
  <c r="AJ76" i="2"/>
  <c r="AJ67" i="2"/>
  <c r="AJ77" i="2"/>
  <c r="AJ68" i="2"/>
  <c r="AJ78" i="2"/>
  <c r="AJ69" i="2"/>
  <c r="AJ79" i="2"/>
  <c r="AJ70" i="2"/>
  <c r="AJ80" i="2"/>
  <c r="AJ71" i="2"/>
  <c r="AJ81" i="2"/>
  <c r="AJ82" i="2"/>
  <c r="AK59" i="2"/>
  <c r="AK60" i="2"/>
  <c r="AK61" i="2"/>
  <c r="AK62" i="2"/>
  <c r="AK72" i="2"/>
  <c r="AK63" i="2"/>
  <c r="AK73" i="2"/>
  <c r="AK64" i="2"/>
  <c r="AK74" i="2"/>
  <c r="AK65" i="2"/>
  <c r="AK75" i="2"/>
  <c r="AK66" i="2"/>
  <c r="AK76" i="2"/>
  <c r="AK67" i="2"/>
  <c r="AK77" i="2"/>
  <c r="AK68" i="2"/>
  <c r="AK78" i="2"/>
  <c r="AK69" i="2"/>
  <c r="AK79" i="2"/>
  <c r="AK70" i="2"/>
  <c r="AK80" i="2"/>
  <c r="AK71" i="2"/>
  <c r="AK81" i="2"/>
  <c r="AK82" i="2"/>
  <c r="AL59" i="2"/>
  <c r="AL60" i="2"/>
  <c r="AL61" i="2"/>
  <c r="AL62" i="2"/>
  <c r="AL72" i="2"/>
  <c r="AL63" i="2"/>
  <c r="AL73" i="2"/>
  <c r="AL64" i="2"/>
  <c r="AL74" i="2"/>
  <c r="AL65" i="2"/>
  <c r="AL75" i="2"/>
  <c r="AL66" i="2"/>
  <c r="AL76" i="2"/>
  <c r="AL67" i="2"/>
  <c r="AL77" i="2"/>
  <c r="AL68" i="2"/>
  <c r="AL78" i="2"/>
  <c r="AL69" i="2"/>
  <c r="AL79" i="2"/>
  <c r="AL70" i="2"/>
  <c r="AL80" i="2"/>
  <c r="AL71" i="2"/>
  <c r="AL81" i="2"/>
  <c r="AL82" i="2"/>
  <c r="AM59" i="2"/>
  <c r="AM60" i="2"/>
  <c r="AM61" i="2"/>
  <c r="AM62" i="2"/>
  <c r="AM72" i="2"/>
  <c r="AM63" i="2"/>
  <c r="AM73" i="2"/>
  <c r="AM64" i="2"/>
  <c r="AM74" i="2"/>
  <c r="AM65" i="2"/>
  <c r="AM75" i="2"/>
  <c r="AM66" i="2"/>
  <c r="AM76" i="2"/>
  <c r="AM67" i="2"/>
  <c r="AM77" i="2"/>
  <c r="AM68" i="2"/>
  <c r="AM78" i="2"/>
  <c r="AM69" i="2"/>
  <c r="AM79" i="2"/>
  <c r="AM70" i="2"/>
  <c r="AM80" i="2"/>
  <c r="AM71" i="2"/>
  <c r="AM81" i="2"/>
  <c r="AM82" i="2"/>
  <c r="AN59" i="2"/>
  <c r="AN60" i="2"/>
  <c r="AN61" i="2"/>
  <c r="AN62" i="2"/>
  <c r="AN72" i="2"/>
  <c r="AN63" i="2"/>
  <c r="AN73" i="2"/>
  <c r="AN64" i="2"/>
  <c r="AN74" i="2"/>
  <c r="AN65" i="2"/>
  <c r="AN75" i="2"/>
  <c r="AN66" i="2"/>
  <c r="AN76" i="2"/>
  <c r="AN67" i="2"/>
  <c r="AN77" i="2"/>
  <c r="AN68" i="2"/>
  <c r="AN78" i="2"/>
  <c r="AN69" i="2"/>
  <c r="AN79" i="2"/>
  <c r="AN70" i="2"/>
  <c r="AN80" i="2"/>
  <c r="AN71" i="2"/>
  <c r="AN81" i="2"/>
  <c r="AN82" i="2"/>
  <c r="AO59" i="2"/>
  <c r="AO60" i="2"/>
  <c r="AO61" i="2"/>
  <c r="AO62" i="2"/>
  <c r="AO72" i="2"/>
  <c r="AO63" i="2"/>
  <c r="AO73" i="2"/>
  <c r="AO64" i="2"/>
  <c r="AO74" i="2"/>
  <c r="AO65" i="2"/>
  <c r="AO75" i="2"/>
  <c r="AO66" i="2"/>
  <c r="AO76" i="2"/>
  <c r="AO67" i="2"/>
  <c r="AO77" i="2"/>
  <c r="AO68" i="2"/>
  <c r="AO78" i="2"/>
  <c r="AO69" i="2"/>
  <c r="AO79" i="2"/>
  <c r="AO70" i="2"/>
  <c r="AO80" i="2"/>
  <c r="AO71" i="2"/>
  <c r="AO81" i="2"/>
  <c r="AO82" i="2"/>
  <c r="AP59" i="2"/>
  <c r="AP60" i="2"/>
  <c r="AP61" i="2"/>
  <c r="AP62" i="2"/>
  <c r="AP72" i="2"/>
  <c r="AP63" i="2"/>
  <c r="AP73" i="2"/>
  <c r="AP64" i="2"/>
  <c r="AP74" i="2"/>
  <c r="AP65" i="2"/>
  <c r="AP75" i="2"/>
  <c r="AP66" i="2"/>
  <c r="AP76" i="2"/>
  <c r="AP67" i="2"/>
  <c r="AP77" i="2"/>
  <c r="AP68" i="2"/>
  <c r="AP78" i="2"/>
  <c r="AP69" i="2"/>
  <c r="AP79" i="2"/>
  <c r="AP70" i="2"/>
  <c r="AP80" i="2"/>
  <c r="AP71" i="2"/>
  <c r="AP81" i="2"/>
  <c r="AP82" i="2"/>
  <c r="AQ59" i="2"/>
  <c r="AQ60" i="2"/>
  <c r="AQ61" i="2"/>
  <c r="AQ62" i="2"/>
  <c r="AQ72" i="2"/>
  <c r="AQ63" i="2"/>
  <c r="AQ73" i="2"/>
  <c r="AQ64" i="2"/>
  <c r="AQ74" i="2"/>
  <c r="AQ65" i="2"/>
  <c r="AQ75" i="2"/>
  <c r="AQ66" i="2"/>
  <c r="AQ76" i="2"/>
  <c r="AQ67" i="2"/>
  <c r="AQ77" i="2"/>
  <c r="AQ68" i="2"/>
  <c r="AQ78" i="2"/>
  <c r="AQ69" i="2"/>
  <c r="AQ79" i="2"/>
  <c r="AQ70" i="2"/>
  <c r="AQ80" i="2"/>
  <c r="AQ71" i="2"/>
  <c r="AQ81" i="2"/>
  <c r="AQ82" i="2"/>
  <c r="AR59" i="2"/>
  <c r="AR60" i="2"/>
  <c r="AR61" i="2"/>
  <c r="AR62" i="2"/>
  <c r="AR72" i="2"/>
  <c r="AR63" i="2"/>
  <c r="AR73" i="2"/>
  <c r="AR64" i="2"/>
  <c r="AR74" i="2"/>
  <c r="AR65" i="2"/>
  <c r="AR75" i="2"/>
  <c r="AR66" i="2"/>
  <c r="AR76" i="2"/>
  <c r="AR67" i="2"/>
  <c r="AR77" i="2"/>
  <c r="AR68" i="2"/>
  <c r="AR78" i="2"/>
  <c r="AR69" i="2"/>
  <c r="AR79" i="2"/>
  <c r="AR70" i="2"/>
  <c r="AR80" i="2"/>
  <c r="AR71" i="2"/>
  <c r="AR81" i="2"/>
  <c r="AR82" i="2"/>
  <c r="AS59" i="2"/>
  <c r="AS60" i="2"/>
  <c r="AS61" i="2"/>
  <c r="AS62" i="2"/>
  <c r="AS72" i="2"/>
  <c r="AS63" i="2"/>
  <c r="AS73" i="2"/>
  <c r="AS64" i="2"/>
  <c r="AS74" i="2"/>
  <c r="AS65" i="2"/>
  <c r="AS75" i="2"/>
  <c r="AS66" i="2"/>
  <c r="AS76" i="2"/>
  <c r="AS67" i="2"/>
  <c r="AS77" i="2"/>
  <c r="AS68" i="2"/>
  <c r="AS78" i="2"/>
  <c r="AS69" i="2"/>
  <c r="AS79" i="2"/>
  <c r="AS70" i="2"/>
  <c r="AS80" i="2"/>
  <c r="AS71" i="2"/>
  <c r="AS81" i="2"/>
  <c r="AS82" i="2"/>
  <c r="AT59" i="2"/>
  <c r="AT60" i="2"/>
  <c r="AT61" i="2"/>
  <c r="AT62" i="2"/>
  <c r="AT72" i="2"/>
  <c r="AT63" i="2"/>
  <c r="AT73" i="2"/>
  <c r="AT64" i="2"/>
  <c r="AT74" i="2"/>
  <c r="AT65" i="2"/>
  <c r="AT75" i="2"/>
  <c r="AT66" i="2"/>
  <c r="AT76" i="2"/>
  <c r="AT67" i="2"/>
  <c r="AT77" i="2"/>
  <c r="AT68" i="2"/>
  <c r="AT78" i="2"/>
  <c r="AT69" i="2"/>
  <c r="AT79" i="2"/>
  <c r="AT70" i="2"/>
  <c r="AT80" i="2"/>
  <c r="AT71" i="2"/>
  <c r="AT81" i="2"/>
  <c r="AT82" i="2"/>
  <c r="AU59" i="2"/>
  <c r="AU60" i="2"/>
  <c r="AU61" i="2"/>
  <c r="AU62" i="2"/>
  <c r="AU72" i="2"/>
  <c r="AU63" i="2"/>
  <c r="AU73" i="2"/>
  <c r="AU64" i="2"/>
  <c r="AU74" i="2"/>
  <c r="AU65" i="2"/>
  <c r="AU75" i="2"/>
  <c r="AU66" i="2"/>
  <c r="AU76" i="2"/>
  <c r="AU67" i="2"/>
  <c r="AU77" i="2"/>
  <c r="AU68" i="2"/>
  <c r="AU78" i="2"/>
  <c r="AU69" i="2"/>
  <c r="AU79" i="2"/>
  <c r="AU70" i="2"/>
  <c r="AU80" i="2"/>
  <c r="AU71" i="2"/>
  <c r="AU81" i="2"/>
  <c r="AU82" i="2"/>
  <c r="AV59" i="2"/>
  <c r="AV60" i="2"/>
  <c r="AV61" i="2"/>
  <c r="AV62" i="2"/>
  <c r="AV72" i="2"/>
  <c r="AV63" i="2"/>
  <c r="AV73" i="2"/>
  <c r="AV64" i="2"/>
  <c r="AV74" i="2"/>
  <c r="AV65" i="2"/>
  <c r="AV75" i="2"/>
  <c r="AV66" i="2"/>
  <c r="AV76" i="2"/>
  <c r="AV67" i="2"/>
  <c r="AV77" i="2"/>
  <c r="AV68" i="2"/>
  <c r="AV78" i="2"/>
  <c r="AV69" i="2"/>
  <c r="AV79" i="2"/>
  <c r="AV70" i="2"/>
  <c r="AV80" i="2"/>
  <c r="AV71" i="2"/>
  <c r="AV81" i="2"/>
  <c r="AV82" i="2"/>
  <c r="AW59" i="2"/>
  <c r="AW60" i="2"/>
  <c r="AW61" i="2"/>
  <c r="AW62" i="2"/>
  <c r="AW72" i="2"/>
  <c r="AW63" i="2"/>
  <c r="AW73" i="2"/>
  <c r="AW64" i="2"/>
  <c r="AW74" i="2"/>
  <c r="AW65" i="2"/>
  <c r="AW75" i="2"/>
  <c r="AW66" i="2"/>
  <c r="AW76" i="2"/>
  <c r="AW67" i="2"/>
  <c r="AW77" i="2"/>
  <c r="AW68" i="2"/>
  <c r="AW78" i="2"/>
  <c r="AW69" i="2"/>
  <c r="AW79" i="2"/>
  <c r="AW70" i="2"/>
  <c r="AW80" i="2"/>
  <c r="AW71" i="2"/>
  <c r="AW81" i="2"/>
  <c r="AW82" i="2"/>
  <c r="AX59" i="2"/>
  <c r="AX60" i="2"/>
  <c r="AX61" i="2"/>
  <c r="AX62" i="2"/>
  <c r="AX72" i="2"/>
  <c r="AX63" i="2"/>
  <c r="AX73" i="2"/>
  <c r="AX64" i="2"/>
  <c r="AX74" i="2"/>
  <c r="AX65" i="2"/>
  <c r="AX75" i="2"/>
  <c r="AX66" i="2"/>
  <c r="AX76" i="2"/>
  <c r="AX67" i="2"/>
  <c r="AX77" i="2"/>
  <c r="AX68" i="2"/>
  <c r="AX78" i="2"/>
  <c r="AX69" i="2"/>
  <c r="AX79" i="2"/>
  <c r="AX70" i="2"/>
  <c r="AX80" i="2"/>
  <c r="AX71" i="2"/>
  <c r="AX81" i="2"/>
  <c r="AX82" i="2"/>
  <c r="AY59" i="2"/>
  <c r="AY60" i="2"/>
  <c r="AY61" i="2"/>
  <c r="AY62" i="2"/>
  <c r="AY72" i="2"/>
  <c r="AY63" i="2"/>
  <c r="AY73" i="2"/>
  <c r="AY64" i="2"/>
  <c r="AY74" i="2"/>
  <c r="AY65" i="2"/>
  <c r="AY75" i="2"/>
  <c r="AY66" i="2"/>
  <c r="AY76" i="2"/>
  <c r="AY67" i="2"/>
  <c r="AY77" i="2"/>
  <c r="AY68" i="2"/>
  <c r="AY78" i="2"/>
  <c r="AY69" i="2"/>
  <c r="AY79" i="2"/>
  <c r="AY70" i="2"/>
  <c r="AY80" i="2"/>
  <c r="AY71" i="2"/>
  <c r="AY81" i="2"/>
  <c r="AY82" i="2"/>
  <c r="AZ59" i="2"/>
  <c r="AZ60" i="2"/>
  <c r="AZ61" i="2"/>
  <c r="AZ62" i="2"/>
  <c r="AZ72" i="2"/>
  <c r="AZ63" i="2"/>
  <c r="AZ73" i="2"/>
  <c r="AZ64" i="2"/>
  <c r="AZ74" i="2"/>
  <c r="AZ65" i="2"/>
  <c r="AZ75" i="2"/>
  <c r="AZ66" i="2"/>
  <c r="AZ76" i="2"/>
  <c r="AZ67" i="2"/>
  <c r="AZ77" i="2"/>
  <c r="AZ68" i="2"/>
  <c r="AZ78" i="2"/>
  <c r="AZ69" i="2"/>
  <c r="AZ79" i="2"/>
  <c r="AZ70" i="2"/>
  <c r="AZ80" i="2"/>
  <c r="AZ71" i="2"/>
  <c r="AZ81" i="2"/>
  <c r="AZ82" i="2"/>
  <c r="BA59" i="2"/>
  <c r="BA60" i="2"/>
  <c r="BA61" i="2"/>
  <c r="BA62" i="2"/>
  <c r="BA72" i="2"/>
  <c r="BA63" i="2"/>
  <c r="BA73" i="2"/>
  <c r="BA64" i="2"/>
  <c r="BA74" i="2"/>
  <c r="BA65" i="2"/>
  <c r="BA75" i="2"/>
  <c r="BA66" i="2"/>
  <c r="BA76" i="2"/>
  <c r="BA67" i="2"/>
  <c r="BA77" i="2"/>
  <c r="BA68" i="2"/>
  <c r="BA78" i="2"/>
  <c r="BA69" i="2"/>
  <c r="BA79" i="2"/>
  <c r="BA70" i="2"/>
  <c r="BA80" i="2"/>
  <c r="BA71" i="2"/>
  <c r="BA81" i="2"/>
  <c r="BA82" i="2"/>
  <c r="BB59" i="2"/>
  <c r="BB60" i="2"/>
  <c r="BB61" i="2"/>
  <c r="BB62" i="2"/>
  <c r="BB72" i="2"/>
  <c r="BB63" i="2"/>
  <c r="BB73" i="2"/>
  <c r="BB64" i="2"/>
  <c r="BB74" i="2"/>
  <c r="BB65" i="2"/>
  <c r="BB75" i="2"/>
  <c r="BB66" i="2"/>
  <c r="BB76" i="2"/>
  <c r="BB67" i="2"/>
  <c r="BB77" i="2"/>
  <c r="BB68" i="2"/>
  <c r="BB78" i="2"/>
  <c r="BB69" i="2"/>
  <c r="BB79" i="2"/>
  <c r="BB70" i="2"/>
  <c r="BB80" i="2"/>
  <c r="BB71" i="2"/>
  <c r="BB81" i="2"/>
  <c r="BB82" i="2"/>
  <c r="BC59" i="2"/>
  <c r="BC60" i="2"/>
  <c r="BC61" i="2"/>
  <c r="BC62" i="2"/>
  <c r="BC72" i="2"/>
  <c r="BC63" i="2"/>
  <c r="BC73" i="2"/>
  <c r="BC64" i="2"/>
  <c r="BC74" i="2"/>
  <c r="BC65" i="2"/>
  <c r="BC75" i="2"/>
  <c r="BC66" i="2"/>
  <c r="BC76" i="2"/>
  <c r="BC67" i="2"/>
  <c r="BC77" i="2"/>
  <c r="BC68" i="2"/>
  <c r="BC78" i="2"/>
  <c r="BC69" i="2"/>
  <c r="BC79" i="2"/>
  <c r="BC70" i="2"/>
  <c r="BC80" i="2"/>
  <c r="BC71" i="2"/>
  <c r="BC81" i="2"/>
  <c r="BC82" i="2"/>
  <c r="BD59" i="2"/>
  <c r="BD60" i="2"/>
  <c r="BD61" i="2"/>
  <c r="BD62" i="2"/>
  <c r="BD72" i="2"/>
  <c r="BD63" i="2"/>
  <c r="BD73" i="2"/>
  <c r="BD64" i="2"/>
  <c r="BD74" i="2"/>
  <c r="BD65" i="2"/>
  <c r="BD75" i="2"/>
  <c r="BD66" i="2"/>
  <c r="BD76" i="2"/>
  <c r="BD67" i="2"/>
  <c r="BD77" i="2"/>
  <c r="BD68" i="2"/>
  <c r="BD78" i="2"/>
  <c r="BD69" i="2"/>
  <c r="BD79" i="2"/>
  <c r="BD70" i="2"/>
  <c r="BD80" i="2"/>
  <c r="BD71" i="2"/>
  <c r="BD81" i="2"/>
  <c r="BD82" i="2"/>
  <c r="BE59" i="2"/>
  <c r="BE60" i="2"/>
  <c r="BE61" i="2"/>
  <c r="BE62" i="2"/>
  <c r="BE72" i="2"/>
  <c r="BE63" i="2"/>
  <c r="BE73" i="2"/>
  <c r="BE64" i="2"/>
  <c r="BE74" i="2"/>
  <c r="BE65" i="2"/>
  <c r="BE75" i="2"/>
  <c r="BE66" i="2"/>
  <c r="BE76" i="2"/>
  <c r="BE67" i="2"/>
  <c r="BE77" i="2"/>
  <c r="BE68" i="2"/>
  <c r="BE78" i="2"/>
  <c r="BE69" i="2"/>
  <c r="BE79" i="2"/>
  <c r="BE70" i="2"/>
  <c r="BE80" i="2"/>
  <c r="BE71" i="2"/>
  <c r="BE81" i="2"/>
  <c r="BE82" i="2"/>
  <c r="BF59" i="2"/>
  <c r="BF60" i="2"/>
  <c r="BF61" i="2"/>
  <c r="BF62" i="2"/>
  <c r="BF72" i="2"/>
  <c r="BF63" i="2"/>
  <c r="BF73" i="2"/>
  <c r="BF64" i="2"/>
  <c r="BF74" i="2"/>
  <c r="BF65" i="2"/>
  <c r="BF75" i="2"/>
  <c r="BF66" i="2"/>
  <c r="BF76" i="2"/>
  <c r="BF67" i="2"/>
  <c r="BF77" i="2"/>
  <c r="BF68" i="2"/>
  <c r="BF78" i="2"/>
  <c r="BF69" i="2"/>
  <c r="BF79" i="2"/>
  <c r="BF70" i="2"/>
  <c r="BF80" i="2"/>
  <c r="BF71" i="2"/>
  <c r="BF81" i="2"/>
  <c r="BF82" i="2"/>
  <c r="BG59" i="2"/>
  <c r="BG60" i="2"/>
  <c r="BG61" i="2"/>
  <c r="BG62" i="2"/>
  <c r="BG72" i="2"/>
  <c r="BG63" i="2"/>
  <c r="BG73" i="2"/>
  <c r="BG64" i="2"/>
  <c r="BG74" i="2"/>
  <c r="BG65" i="2"/>
  <c r="BG75" i="2"/>
  <c r="BG66" i="2"/>
  <c r="BG76" i="2"/>
  <c r="BG67" i="2"/>
  <c r="BG77" i="2"/>
  <c r="BG68" i="2"/>
  <c r="BG78" i="2"/>
  <c r="BG69" i="2"/>
  <c r="BG79" i="2"/>
  <c r="BG70" i="2"/>
  <c r="BG80" i="2"/>
  <c r="BG71" i="2"/>
  <c r="BG81" i="2"/>
  <c r="BG82" i="2"/>
  <c r="BH59" i="2"/>
  <c r="BH60" i="2"/>
  <c r="BH61" i="2"/>
  <c r="BH62" i="2"/>
  <c r="BH72" i="2"/>
  <c r="BH63" i="2"/>
  <c r="BH73" i="2"/>
  <c r="BH64" i="2"/>
  <c r="BH74" i="2"/>
  <c r="BH65" i="2"/>
  <c r="BH75" i="2"/>
  <c r="BH66" i="2"/>
  <c r="BH76" i="2"/>
  <c r="BH67" i="2"/>
  <c r="BH77" i="2"/>
  <c r="BH68" i="2"/>
  <c r="BH78" i="2"/>
  <c r="BH69" i="2"/>
  <c r="BH79" i="2"/>
  <c r="BH70" i="2"/>
  <c r="BH80" i="2"/>
  <c r="BH71" i="2"/>
  <c r="BH81" i="2"/>
  <c r="BH82" i="2"/>
  <c r="BI59" i="2"/>
  <c r="BI60" i="2"/>
  <c r="BI61" i="2"/>
  <c r="BI62" i="2"/>
  <c r="BI72" i="2"/>
  <c r="BI63" i="2"/>
  <c r="BI73" i="2"/>
  <c r="BI64" i="2"/>
  <c r="BI74" i="2"/>
  <c r="BI65" i="2"/>
  <c r="BI75" i="2"/>
  <c r="BI66" i="2"/>
  <c r="BI76" i="2"/>
  <c r="BI67" i="2"/>
  <c r="BI77" i="2"/>
  <c r="BI68" i="2"/>
  <c r="BI78" i="2"/>
  <c r="BI69" i="2"/>
  <c r="BI79" i="2"/>
  <c r="BI70" i="2"/>
  <c r="BI80" i="2"/>
  <c r="BI71" i="2"/>
  <c r="BI81" i="2"/>
  <c r="BI82" i="2"/>
  <c r="BJ59" i="2"/>
  <c r="BJ60" i="2"/>
  <c r="BJ61" i="2"/>
  <c r="BJ62" i="2"/>
  <c r="BJ72" i="2"/>
  <c r="BJ63" i="2"/>
  <c r="BJ73" i="2"/>
  <c r="BJ64" i="2"/>
  <c r="BJ74" i="2"/>
  <c r="BJ65" i="2"/>
  <c r="BJ75" i="2"/>
  <c r="BJ66" i="2"/>
  <c r="BJ76" i="2"/>
  <c r="BJ67" i="2"/>
  <c r="BJ77" i="2"/>
  <c r="BJ68" i="2"/>
  <c r="BJ78" i="2"/>
  <c r="BJ69" i="2"/>
  <c r="BJ79" i="2"/>
  <c r="BJ70" i="2"/>
  <c r="BJ80" i="2"/>
  <c r="BJ71" i="2"/>
  <c r="BJ81" i="2"/>
  <c r="BJ82" i="2"/>
  <c r="BK59" i="2"/>
  <c r="BK60" i="2"/>
  <c r="BK61" i="2"/>
  <c r="BK62" i="2"/>
  <c r="BK72" i="2"/>
  <c r="BK63" i="2"/>
  <c r="BK73" i="2"/>
  <c r="BK64" i="2"/>
  <c r="BK74" i="2"/>
  <c r="BK65" i="2"/>
  <c r="BK75" i="2"/>
  <c r="BK66" i="2"/>
  <c r="BK76" i="2"/>
  <c r="BK67" i="2"/>
  <c r="BK77" i="2"/>
  <c r="BK68" i="2"/>
  <c r="BK78" i="2"/>
  <c r="BK69" i="2"/>
  <c r="BK79" i="2"/>
  <c r="BK70" i="2"/>
  <c r="BK80" i="2"/>
  <c r="BK71" i="2"/>
  <c r="BK81" i="2"/>
  <c r="BK82" i="2"/>
  <c r="BL59" i="2"/>
  <c r="BL60" i="2"/>
  <c r="BL61" i="2"/>
  <c r="BL62" i="2"/>
  <c r="BL72" i="2"/>
  <c r="BL63" i="2"/>
  <c r="BL73" i="2"/>
  <c r="BL64" i="2"/>
  <c r="BL74" i="2"/>
  <c r="BL65" i="2"/>
  <c r="BL75" i="2"/>
  <c r="BL66" i="2"/>
  <c r="BL76" i="2"/>
  <c r="BL67" i="2"/>
  <c r="BL77" i="2"/>
  <c r="BL68" i="2"/>
  <c r="BL78" i="2"/>
  <c r="BL69" i="2"/>
  <c r="BL79" i="2"/>
  <c r="BL70" i="2"/>
  <c r="BL80" i="2"/>
  <c r="BL71" i="2"/>
  <c r="BL81" i="2"/>
  <c r="BL82" i="2"/>
  <c r="BM59" i="2"/>
  <c r="BM60" i="2"/>
  <c r="BM61" i="2"/>
  <c r="BM62" i="2"/>
  <c r="BM72" i="2"/>
  <c r="BM63" i="2"/>
  <c r="BM73" i="2"/>
  <c r="BM64" i="2"/>
  <c r="BM74" i="2"/>
  <c r="BM65" i="2"/>
  <c r="BM75" i="2"/>
  <c r="BM66" i="2"/>
  <c r="BM76" i="2"/>
  <c r="BM67" i="2"/>
  <c r="BM77" i="2"/>
  <c r="BM68" i="2"/>
  <c r="BM78" i="2"/>
  <c r="BM69" i="2"/>
  <c r="BM79" i="2"/>
  <c r="BM70" i="2"/>
  <c r="BM80" i="2"/>
  <c r="BM71" i="2"/>
  <c r="BM81" i="2"/>
  <c r="BM82" i="2"/>
  <c r="BN59" i="2"/>
  <c r="BN60" i="2"/>
  <c r="BN61" i="2"/>
  <c r="BN62" i="2"/>
  <c r="BN72" i="2"/>
  <c r="BN63" i="2"/>
  <c r="BN73" i="2"/>
  <c r="BN64" i="2"/>
  <c r="BN74" i="2"/>
  <c r="BN65" i="2"/>
  <c r="BN75" i="2"/>
  <c r="BN66" i="2"/>
  <c r="BN76" i="2"/>
  <c r="BN67" i="2"/>
  <c r="BN77" i="2"/>
  <c r="BN68" i="2"/>
  <c r="BN78" i="2"/>
  <c r="BN69" i="2"/>
  <c r="BN79" i="2"/>
  <c r="BN70" i="2"/>
  <c r="BN80" i="2"/>
  <c r="BN71" i="2"/>
  <c r="BN81" i="2"/>
  <c r="BN82" i="2"/>
  <c r="BO59" i="2"/>
  <c r="BO60" i="2"/>
  <c r="BO61" i="2"/>
  <c r="BO62" i="2"/>
  <c r="BO72" i="2"/>
  <c r="BO63" i="2"/>
  <c r="BO73" i="2"/>
  <c r="BO64" i="2"/>
  <c r="BO74" i="2"/>
  <c r="BO65" i="2"/>
  <c r="BO75" i="2"/>
  <c r="BO66" i="2"/>
  <c r="BO76" i="2"/>
  <c r="BO67" i="2"/>
  <c r="BO77" i="2"/>
  <c r="BO68" i="2"/>
  <c r="BO78" i="2"/>
  <c r="BO69" i="2"/>
  <c r="BO79" i="2"/>
  <c r="BO70" i="2"/>
  <c r="BO80" i="2"/>
  <c r="BO71" i="2"/>
  <c r="BO81" i="2"/>
  <c r="BO82" i="2"/>
  <c r="BP59" i="2"/>
  <c r="BP60" i="2"/>
  <c r="BP61" i="2"/>
  <c r="BP62" i="2"/>
  <c r="BP72" i="2"/>
  <c r="BP63" i="2"/>
  <c r="BP73" i="2"/>
  <c r="BP64" i="2"/>
  <c r="BP74" i="2"/>
  <c r="BP65" i="2"/>
  <c r="BP75" i="2"/>
  <c r="BP66" i="2"/>
  <c r="BP76" i="2"/>
  <c r="BP67" i="2"/>
  <c r="BP77" i="2"/>
  <c r="BP68" i="2"/>
  <c r="BP78" i="2"/>
  <c r="BP69" i="2"/>
  <c r="BP79" i="2"/>
  <c r="BP70" i="2"/>
  <c r="BP80" i="2"/>
  <c r="BP71" i="2"/>
  <c r="BP81" i="2"/>
  <c r="BP82" i="2"/>
  <c r="BQ59" i="2"/>
  <c r="BQ60" i="2"/>
  <c r="BQ61" i="2"/>
  <c r="BQ62" i="2"/>
  <c r="BQ72" i="2"/>
  <c r="BQ63" i="2"/>
  <c r="BQ73" i="2"/>
  <c r="BQ64" i="2"/>
  <c r="BQ74" i="2"/>
  <c r="BQ65" i="2"/>
  <c r="BQ75" i="2"/>
  <c r="BQ66" i="2"/>
  <c r="BQ76" i="2"/>
  <c r="BQ67" i="2"/>
  <c r="BQ77" i="2"/>
  <c r="BQ68" i="2"/>
  <c r="BQ78" i="2"/>
  <c r="BQ69" i="2"/>
  <c r="BQ79" i="2"/>
  <c r="BQ70" i="2"/>
  <c r="BQ80" i="2"/>
  <c r="BQ71" i="2"/>
  <c r="BQ81" i="2"/>
  <c r="BQ82" i="2"/>
  <c r="BR59" i="2"/>
  <c r="BR60" i="2"/>
  <c r="BR61" i="2"/>
  <c r="BR62" i="2"/>
  <c r="BR72" i="2"/>
  <c r="BR63" i="2"/>
  <c r="BR73" i="2"/>
  <c r="BR64" i="2"/>
  <c r="BR74" i="2"/>
  <c r="BR65" i="2"/>
  <c r="BR75" i="2"/>
  <c r="BR66" i="2"/>
  <c r="BR76" i="2"/>
  <c r="BR67" i="2"/>
  <c r="BR77" i="2"/>
  <c r="BR68" i="2"/>
  <c r="BR78" i="2"/>
  <c r="BR69" i="2"/>
  <c r="BR79" i="2"/>
  <c r="BR70" i="2"/>
  <c r="BR80" i="2"/>
  <c r="BR71" i="2"/>
  <c r="BR81" i="2"/>
  <c r="BR82" i="2"/>
  <c r="BS59" i="2"/>
  <c r="BS60" i="2"/>
  <c r="BS61" i="2"/>
  <c r="BS62" i="2"/>
  <c r="BS72" i="2"/>
  <c r="BS63" i="2"/>
  <c r="BS73" i="2"/>
  <c r="BS64" i="2"/>
  <c r="BS74" i="2"/>
  <c r="BS65" i="2"/>
  <c r="BS75" i="2"/>
  <c r="BS66" i="2"/>
  <c r="BS76" i="2"/>
  <c r="BS67" i="2"/>
  <c r="BS77" i="2"/>
  <c r="BS68" i="2"/>
  <c r="BS78" i="2"/>
  <c r="BS69" i="2"/>
  <c r="BS79" i="2"/>
  <c r="BS70" i="2"/>
  <c r="BS80" i="2"/>
  <c r="BS71" i="2"/>
  <c r="BS81" i="2"/>
  <c r="BS82" i="2"/>
  <c r="BT59" i="2"/>
  <c r="BT60" i="2"/>
  <c r="BT61" i="2"/>
  <c r="BT62" i="2"/>
  <c r="BT72" i="2"/>
  <c r="BT63" i="2"/>
  <c r="BT73" i="2"/>
  <c r="BT64" i="2"/>
  <c r="BT74" i="2"/>
  <c r="BT65" i="2"/>
  <c r="BT75" i="2"/>
  <c r="BT66" i="2"/>
  <c r="BT76" i="2"/>
  <c r="BT67" i="2"/>
  <c r="BT77" i="2"/>
  <c r="BT68" i="2"/>
  <c r="BT78" i="2"/>
  <c r="BT69" i="2"/>
  <c r="BT79" i="2"/>
  <c r="BT70" i="2"/>
  <c r="BT80" i="2"/>
  <c r="BT71" i="2"/>
  <c r="BT81" i="2"/>
  <c r="BT82" i="2"/>
  <c r="BU59" i="2"/>
  <c r="BU60" i="2"/>
  <c r="BU61" i="2"/>
  <c r="BU62" i="2"/>
  <c r="BU72" i="2"/>
  <c r="BU63" i="2"/>
  <c r="BU73" i="2"/>
  <c r="BU64" i="2"/>
  <c r="BU74" i="2"/>
  <c r="BU65" i="2"/>
  <c r="BU75" i="2"/>
  <c r="BU66" i="2"/>
  <c r="BU76" i="2"/>
  <c r="BU67" i="2"/>
  <c r="BU77" i="2"/>
  <c r="BU68" i="2"/>
  <c r="BU78" i="2"/>
  <c r="BU69" i="2"/>
  <c r="BU79" i="2"/>
  <c r="BU70" i="2"/>
  <c r="BU80" i="2"/>
  <c r="BU71" i="2"/>
  <c r="BU81" i="2"/>
  <c r="BU82" i="2"/>
  <c r="BV59" i="2"/>
  <c r="BV60" i="2"/>
  <c r="BV61" i="2"/>
  <c r="BV62" i="2"/>
  <c r="BV72" i="2"/>
  <c r="BV63" i="2"/>
  <c r="BV73" i="2"/>
  <c r="BV64" i="2"/>
  <c r="BV74" i="2"/>
  <c r="BV65" i="2"/>
  <c r="BV75" i="2"/>
  <c r="BV66" i="2"/>
  <c r="BV76" i="2"/>
  <c r="BV67" i="2"/>
  <c r="BV77" i="2"/>
  <c r="BV68" i="2"/>
  <c r="BV78" i="2"/>
  <c r="BV69" i="2"/>
  <c r="BV79" i="2"/>
  <c r="BV70" i="2"/>
  <c r="BV80" i="2"/>
  <c r="BV71" i="2"/>
  <c r="BV81" i="2"/>
  <c r="BV82" i="2"/>
  <c r="BW59" i="2"/>
  <c r="BW60" i="2"/>
  <c r="BW61" i="2"/>
  <c r="BW62" i="2"/>
  <c r="BW72" i="2"/>
  <c r="BW63" i="2"/>
  <c r="BW73" i="2"/>
  <c r="BW64" i="2"/>
  <c r="BW74" i="2"/>
  <c r="BW65" i="2"/>
  <c r="BW75" i="2"/>
  <c r="BW66" i="2"/>
  <c r="BW76" i="2"/>
  <c r="BW67" i="2"/>
  <c r="BW77" i="2"/>
  <c r="BW68" i="2"/>
  <c r="BW78" i="2"/>
  <c r="BW69" i="2"/>
  <c r="BW79" i="2"/>
  <c r="BW70" i="2"/>
  <c r="BW80" i="2"/>
  <c r="BW71" i="2"/>
  <c r="BW81" i="2"/>
  <c r="BW82" i="2"/>
  <c r="BX59" i="2"/>
  <c r="BX60" i="2"/>
  <c r="BX61" i="2"/>
  <c r="BX62" i="2"/>
  <c r="BX72" i="2"/>
  <c r="BX63" i="2"/>
  <c r="BX73" i="2"/>
  <c r="BX64" i="2"/>
  <c r="BX74" i="2"/>
  <c r="BX65" i="2"/>
  <c r="BX75" i="2"/>
  <c r="BX66" i="2"/>
  <c r="BX76" i="2"/>
  <c r="BX67" i="2"/>
  <c r="BX77" i="2"/>
  <c r="BX68" i="2"/>
  <c r="BX78" i="2"/>
  <c r="BX69" i="2"/>
  <c r="BX79" i="2"/>
  <c r="BX70" i="2"/>
  <c r="BX80" i="2"/>
  <c r="BX71" i="2"/>
  <c r="BX81" i="2"/>
  <c r="BX82" i="2"/>
  <c r="BY59" i="2"/>
  <c r="BY60" i="2"/>
  <c r="BY61" i="2"/>
  <c r="BY62" i="2"/>
  <c r="BY72" i="2"/>
  <c r="BY63" i="2"/>
  <c r="BY73" i="2"/>
  <c r="BY64" i="2"/>
  <c r="BY74" i="2"/>
  <c r="BY65" i="2"/>
  <c r="BY75" i="2"/>
  <c r="BY66" i="2"/>
  <c r="BY76" i="2"/>
  <c r="BY67" i="2"/>
  <c r="BY77" i="2"/>
  <c r="BY68" i="2"/>
  <c r="BY78" i="2"/>
  <c r="BY69" i="2"/>
  <c r="BY79" i="2"/>
  <c r="BY70" i="2"/>
  <c r="BY80" i="2"/>
  <c r="BY71" i="2"/>
  <c r="BY81" i="2"/>
  <c r="BY82" i="2"/>
  <c r="BZ59" i="2"/>
  <c r="BZ60" i="2"/>
  <c r="BZ61" i="2"/>
  <c r="BZ62" i="2"/>
  <c r="BZ72" i="2"/>
  <c r="BZ63" i="2"/>
  <c r="BZ73" i="2"/>
  <c r="BZ64" i="2"/>
  <c r="BZ74" i="2"/>
  <c r="BZ65" i="2"/>
  <c r="BZ75" i="2"/>
  <c r="BZ66" i="2"/>
  <c r="BZ76" i="2"/>
  <c r="BZ67" i="2"/>
  <c r="BZ77" i="2"/>
  <c r="BZ68" i="2"/>
  <c r="BZ78" i="2"/>
  <c r="BZ69" i="2"/>
  <c r="BZ79" i="2"/>
  <c r="BZ70" i="2"/>
  <c r="BZ80" i="2"/>
  <c r="BZ71" i="2"/>
  <c r="BZ81" i="2"/>
  <c r="BZ82" i="2"/>
  <c r="CA59" i="2"/>
  <c r="CA60" i="2"/>
  <c r="CA61" i="2"/>
  <c r="CA62" i="2"/>
  <c r="CA72" i="2"/>
  <c r="CA63" i="2"/>
  <c r="CA73" i="2"/>
  <c r="CA64" i="2"/>
  <c r="CA74" i="2"/>
  <c r="CA65" i="2"/>
  <c r="CA75" i="2"/>
  <c r="CA66" i="2"/>
  <c r="CA76" i="2"/>
  <c r="CA67" i="2"/>
  <c r="CA77" i="2"/>
  <c r="CA68" i="2"/>
  <c r="CA78" i="2"/>
  <c r="CA69" i="2"/>
  <c r="CA79" i="2"/>
  <c r="CA70" i="2"/>
  <c r="CA80" i="2"/>
  <c r="CA71" i="2"/>
  <c r="CA81" i="2"/>
  <c r="CA82" i="2"/>
  <c r="CB59" i="2"/>
  <c r="CB60" i="2"/>
  <c r="CB61" i="2"/>
  <c r="CB62" i="2"/>
  <c r="CB72" i="2"/>
  <c r="CB63" i="2"/>
  <c r="CB73" i="2"/>
  <c r="CB64" i="2"/>
  <c r="CB74" i="2"/>
  <c r="CB65" i="2"/>
  <c r="CB75" i="2"/>
  <c r="CB66" i="2"/>
  <c r="CB76" i="2"/>
  <c r="CB67" i="2"/>
  <c r="CB77" i="2"/>
  <c r="CB68" i="2"/>
  <c r="CB78" i="2"/>
  <c r="CB69" i="2"/>
  <c r="CB79" i="2"/>
  <c r="CB70" i="2"/>
  <c r="CB80" i="2"/>
  <c r="CB71" i="2"/>
  <c r="CB81" i="2"/>
  <c r="CB82" i="2"/>
  <c r="CC59" i="2"/>
  <c r="CC60" i="2"/>
  <c r="CC61" i="2"/>
  <c r="CC62" i="2"/>
  <c r="CC72" i="2"/>
  <c r="CC63" i="2"/>
  <c r="CC73" i="2"/>
  <c r="CC64" i="2"/>
  <c r="CC74" i="2"/>
  <c r="CC65" i="2"/>
  <c r="CC75" i="2"/>
  <c r="CC66" i="2"/>
  <c r="CC76" i="2"/>
  <c r="CC67" i="2"/>
  <c r="CC77" i="2"/>
  <c r="CC68" i="2"/>
  <c r="CC78" i="2"/>
  <c r="CC69" i="2"/>
  <c r="CC79" i="2"/>
  <c r="CC70" i="2"/>
  <c r="CC80" i="2"/>
  <c r="CC71" i="2"/>
  <c r="CC81" i="2"/>
  <c r="CC82" i="2"/>
  <c r="CD59" i="2"/>
  <c r="CD60" i="2"/>
  <c r="CD61" i="2"/>
  <c r="CD62" i="2"/>
  <c r="CD72" i="2"/>
  <c r="CD63" i="2"/>
  <c r="CD73" i="2"/>
  <c r="CD64" i="2"/>
  <c r="CD74" i="2"/>
  <c r="CD65" i="2"/>
  <c r="CD75" i="2"/>
  <c r="CD66" i="2"/>
  <c r="CD76" i="2"/>
  <c r="CD67" i="2"/>
  <c r="CD77" i="2"/>
  <c r="CD68" i="2"/>
  <c r="CD78" i="2"/>
  <c r="CD69" i="2"/>
  <c r="CD79" i="2"/>
  <c r="CD70" i="2"/>
  <c r="CD80" i="2"/>
  <c r="CD71" i="2"/>
  <c r="CD81" i="2"/>
  <c r="CD82" i="2"/>
  <c r="CE59" i="2"/>
  <c r="CE60" i="2"/>
  <c r="CE61" i="2"/>
  <c r="CE62" i="2"/>
  <c r="CE72" i="2"/>
  <c r="CE63" i="2"/>
  <c r="CE73" i="2"/>
  <c r="CE64" i="2"/>
  <c r="CE74" i="2"/>
  <c r="CE65" i="2"/>
  <c r="CE75" i="2"/>
  <c r="CE66" i="2"/>
  <c r="CE76" i="2"/>
  <c r="CE67" i="2"/>
  <c r="CE77" i="2"/>
  <c r="CE68" i="2"/>
  <c r="CE78" i="2"/>
  <c r="CE69" i="2"/>
  <c r="CE79" i="2"/>
  <c r="CE70" i="2"/>
  <c r="CE80" i="2"/>
  <c r="CE71" i="2"/>
  <c r="CE81" i="2"/>
  <c r="CE82" i="2"/>
  <c r="CF59" i="2"/>
  <c r="CF60" i="2"/>
  <c r="CF61" i="2"/>
  <c r="CF62" i="2"/>
  <c r="CF72" i="2"/>
  <c r="AF10" i="1"/>
  <c r="C254" i="1"/>
  <c r="D166" i="1"/>
  <c r="D156" i="1"/>
  <c r="D177" i="1"/>
  <c r="CF63" i="2"/>
  <c r="CF73" i="2"/>
  <c r="AF11" i="1"/>
  <c r="C255" i="1"/>
  <c r="D167" i="1"/>
  <c r="D157" i="1"/>
  <c r="D178" i="1"/>
  <c r="CF64" i="2"/>
  <c r="CF74" i="2"/>
  <c r="AF12" i="1"/>
  <c r="C256" i="1"/>
  <c r="D168" i="1"/>
  <c r="D158" i="1"/>
  <c r="D179" i="1"/>
  <c r="CF65" i="2"/>
  <c r="CF75" i="2"/>
  <c r="AF13" i="1"/>
  <c r="C257" i="1"/>
  <c r="D169" i="1"/>
  <c r="D159" i="1"/>
  <c r="D180" i="1"/>
  <c r="CF66" i="2"/>
  <c r="CF76" i="2"/>
  <c r="AF14" i="1"/>
  <c r="C258" i="1"/>
  <c r="D170" i="1"/>
  <c r="D160" i="1"/>
  <c r="D181" i="1"/>
  <c r="CF67" i="2"/>
  <c r="CF77" i="2"/>
  <c r="AF15" i="1"/>
  <c r="C259" i="1"/>
  <c r="D171" i="1"/>
  <c r="D161" i="1"/>
  <c r="D182" i="1"/>
  <c r="CF68" i="2"/>
  <c r="CF78" i="2"/>
  <c r="AF16" i="1"/>
  <c r="C260" i="1"/>
  <c r="D172" i="1"/>
  <c r="D162" i="1"/>
  <c r="D183" i="1"/>
  <c r="CF69" i="2"/>
  <c r="CF79" i="2"/>
  <c r="AF17" i="1"/>
  <c r="C261" i="1"/>
  <c r="D173" i="1"/>
  <c r="D163" i="1"/>
  <c r="D184" i="1"/>
  <c r="CF70" i="2"/>
  <c r="CF80" i="2"/>
  <c r="AF18" i="1"/>
  <c r="C262" i="1"/>
  <c r="D174" i="1"/>
  <c r="D164" i="1"/>
  <c r="D185" i="1"/>
  <c r="CF71" i="2"/>
  <c r="CF81" i="2"/>
  <c r="AF19" i="1"/>
  <c r="C263" i="1"/>
  <c r="D175" i="1"/>
  <c r="D165" i="1"/>
  <c r="D186" i="1"/>
  <c r="D176" i="1"/>
  <c r="D187" i="1"/>
  <c r="D254" i="1"/>
  <c r="D188" i="1"/>
  <c r="D255" i="1"/>
  <c r="D189" i="1"/>
  <c r="D256" i="1"/>
  <c r="D190" i="1"/>
  <c r="D257" i="1"/>
  <c r="D191" i="1"/>
  <c r="D258" i="1"/>
  <c r="D192" i="1"/>
  <c r="D259" i="1"/>
  <c r="D193" i="1"/>
  <c r="D260" i="1"/>
  <c r="D194" i="1"/>
  <c r="D261" i="1"/>
  <c r="D195" i="1"/>
  <c r="D262" i="1"/>
  <c r="D196" i="1"/>
  <c r="D263" i="1"/>
  <c r="AC8" i="1"/>
  <c r="O26" i="1"/>
  <c r="O27" i="1"/>
  <c r="O28" i="1"/>
  <c r="O29" i="1"/>
  <c r="O30" i="1"/>
  <c r="O31" i="1"/>
  <c r="O32" i="1"/>
  <c r="O33" i="1"/>
  <c r="O34" i="1"/>
  <c r="O35" i="1"/>
  <c r="O36" i="1"/>
  <c r="V10" i="1"/>
  <c r="V11" i="1"/>
  <c r="V12" i="1"/>
  <c r="V13" i="1"/>
  <c r="V14" i="1"/>
  <c r="V15" i="1"/>
  <c r="V16" i="1"/>
  <c r="V17" i="1"/>
  <c r="V18" i="1"/>
  <c r="V19" i="1"/>
  <c r="V20" i="1"/>
  <c r="W10" i="1"/>
  <c r="AI7" i="2"/>
  <c r="AI17" i="2"/>
  <c r="W11" i="1"/>
  <c r="AI8" i="2"/>
  <c r="AI18" i="2"/>
  <c r="W12" i="1"/>
  <c r="AI9" i="2"/>
  <c r="AI19" i="2"/>
  <c r="W13" i="1"/>
  <c r="AI10" i="2"/>
  <c r="AI20" i="2"/>
  <c r="W14" i="1"/>
  <c r="AI11" i="2"/>
  <c r="AI21" i="2"/>
  <c r="W15" i="1"/>
  <c r="AI12" i="2"/>
  <c r="AI22" i="2"/>
  <c r="W16" i="1"/>
  <c r="AI13" i="2"/>
  <c r="AI23" i="2"/>
  <c r="W17" i="1"/>
  <c r="AI14" i="2"/>
  <c r="AI24" i="2"/>
  <c r="W18" i="1"/>
  <c r="AI15" i="2"/>
  <c r="AI25" i="2"/>
  <c r="W19" i="1"/>
  <c r="AI16" i="2"/>
  <c r="AI26" i="2"/>
  <c r="AI27" i="2"/>
  <c r="AJ4" i="2"/>
  <c r="AJ5" i="2"/>
  <c r="AJ6" i="2"/>
  <c r="AJ7" i="2"/>
  <c r="AJ17" i="2"/>
  <c r="AJ8" i="2"/>
  <c r="AJ18" i="2"/>
  <c r="AJ9" i="2"/>
  <c r="AJ19" i="2"/>
  <c r="AJ10" i="2"/>
  <c r="AJ20" i="2"/>
  <c r="AJ11" i="2"/>
  <c r="AJ21" i="2"/>
  <c r="AJ12" i="2"/>
  <c r="AJ22" i="2"/>
  <c r="AJ13" i="2"/>
  <c r="AJ23" i="2"/>
  <c r="AJ14" i="2"/>
  <c r="AJ24" i="2"/>
  <c r="AJ15" i="2"/>
  <c r="AJ25" i="2"/>
  <c r="AJ16" i="2"/>
  <c r="AJ26" i="2"/>
  <c r="AJ27" i="2"/>
  <c r="AK4" i="2"/>
  <c r="AK5" i="2"/>
  <c r="AK6" i="2"/>
  <c r="AK7" i="2"/>
  <c r="AK17" i="2"/>
  <c r="AK8" i="2"/>
  <c r="AK18" i="2"/>
  <c r="AK9" i="2"/>
  <c r="AK19" i="2"/>
  <c r="AK10" i="2"/>
  <c r="AK20" i="2"/>
  <c r="AK11" i="2"/>
  <c r="AK21" i="2"/>
  <c r="AK12" i="2"/>
  <c r="AK22" i="2"/>
  <c r="AK13" i="2"/>
  <c r="AK23" i="2"/>
  <c r="AK14" i="2"/>
  <c r="AK24" i="2"/>
  <c r="AK15" i="2"/>
  <c r="AK25" i="2"/>
  <c r="AK16" i="2"/>
  <c r="AK26" i="2"/>
  <c r="AK27" i="2"/>
  <c r="AL4" i="2"/>
  <c r="AL5" i="2"/>
  <c r="AL6" i="2"/>
  <c r="AL7" i="2"/>
  <c r="AL17" i="2"/>
  <c r="AL8" i="2"/>
  <c r="AL18" i="2"/>
  <c r="AL9" i="2"/>
  <c r="AL19" i="2"/>
  <c r="AL10" i="2"/>
  <c r="AL20" i="2"/>
  <c r="AL11" i="2"/>
  <c r="AL21" i="2"/>
  <c r="AL12" i="2"/>
  <c r="AL22" i="2"/>
  <c r="AL13" i="2"/>
  <c r="AL23" i="2"/>
  <c r="AL14" i="2"/>
  <c r="AL24" i="2"/>
  <c r="AL15" i="2"/>
  <c r="AL25" i="2"/>
  <c r="AL16" i="2"/>
  <c r="AL26" i="2"/>
  <c r="AL27" i="2"/>
  <c r="AM4" i="2"/>
  <c r="AM5" i="2"/>
  <c r="AM6" i="2"/>
  <c r="AM7" i="2"/>
  <c r="AM17" i="2"/>
  <c r="AM8" i="2"/>
  <c r="AM18" i="2"/>
  <c r="AM9" i="2"/>
  <c r="AM19" i="2"/>
  <c r="AM10" i="2"/>
  <c r="AM20" i="2"/>
  <c r="AM11" i="2"/>
  <c r="AM21" i="2"/>
  <c r="AM12" i="2"/>
  <c r="AM22" i="2"/>
  <c r="AM13" i="2"/>
  <c r="AM23" i="2"/>
  <c r="AM14" i="2"/>
  <c r="AM24" i="2"/>
  <c r="AM15" i="2"/>
  <c r="AM25" i="2"/>
  <c r="AM16" i="2"/>
  <c r="AM26" i="2"/>
  <c r="AM27" i="2"/>
  <c r="AN4" i="2"/>
  <c r="AN5" i="2"/>
  <c r="AN6" i="2"/>
  <c r="AN7" i="2"/>
  <c r="AN17" i="2"/>
  <c r="AN8" i="2"/>
  <c r="AN18" i="2"/>
  <c r="AN9" i="2"/>
  <c r="AN19" i="2"/>
  <c r="AN10" i="2"/>
  <c r="AN20" i="2"/>
  <c r="AN11" i="2"/>
  <c r="AN21" i="2"/>
  <c r="AN12" i="2"/>
  <c r="AN22" i="2"/>
  <c r="AN13" i="2"/>
  <c r="AN23" i="2"/>
  <c r="AN14" i="2"/>
  <c r="AN24" i="2"/>
  <c r="AN15" i="2"/>
  <c r="AN25" i="2"/>
  <c r="AN16" i="2"/>
  <c r="AN26" i="2"/>
  <c r="AN27" i="2"/>
  <c r="AO4" i="2"/>
  <c r="AO5" i="2"/>
  <c r="AO6" i="2"/>
  <c r="AO7" i="2"/>
  <c r="AO17" i="2"/>
  <c r="AO8" i="2"/>
  <c r="AO18" i="2"/>
  <c r="AO9" i="2"/>
  <c r="AO19" i="2"/>
  <c r="AO10" i="2"/>
  <c r="AO20" i="2"/>
  <c r="AO11" i="2"/>
  <c r="AO21" i="2"/>
  <c r="AO12" i="2"/>
  <c r="AO22" i="2"/>
  <c r="AO13" i="2"/>
  <c r="AO23" i="2"/>
  <c r="AO14" i="2"/>
  <c r="AO24" i="2"/>
  <c r="AO15" i="2"/>
  <c r="AO25" i="2"/>
  <c r="AO16" i="2"/>
  <c r="AO26" i="2"/>
  <c r="AO27" i="2"/>
  <c r="AP4" i="2"/>
  <c r="AP5" i="2"/>
  <c r="AP6" i="2"/>
  <c r="AP7" i="2"/>
  <c r="AP17" i="2"/>
  <c r="AP8" i="2"/>
  <c r="AP18" i="2"/>
  <c r="AP9" i="2"/>
  <c r="AP19" i="2"/>
  <c r="AP10" i="2"/>
  <c r="AP20" i="2"/>
  <c r="AP11" i="2"/>
  <c r="AP21" i="2"/>
  <c r="AP12" i="2"/>
  <c r="AP22" i="2"/>
  <c r="AP13" i="2"/>
  <c r="AP23" i="2"/>
  <c r="AP14" i="2"/>
  <c r="AP24" i="2"/>
  <c r="AP15" i="2"/>
  <c r="AP25" i="2"/>
  <c r="AP16" i="2"/>
  <c r="AP26" i="2"/>
  <c r="AP27" i="2"/>
  <c r="AQ4" i="2"/>
  <c r="AQ5" i="2"/>
  <c r="AQ6" i="2"/>
  <c r="AQ7" i="2"/>
  <c r="AQ17" i="2"/>
  <c r="AQ8" i="2"/>
  <c r="AQ18" i="2"/>
  <c r="AQ9" i="2"/>
  <c r="AQ19" i="2"/>
  <c r="AQ10" i="2"/>
  <c r="AQ20" i="2"/>
  <c r="AQ11" i="2"/>
  <c r="AQ21" i="2"/>
  <c r="AQ12" i="2"/>
  <c r="AQ22" i="2"/>
  <c r="AQ13" i="2"/>
  <c r="AQ23" i="2"/>
  <c r="AQ14" i="2"/>
  <c r="AQ24" i="2"/>
  <c r="AQ15" i="2"/>
  <c r="AQ25" i="2"/>
  <c r="AQ16" i="2"/>
  <c r="AQ26" i="2"/>
  <c r="AQ27" i="2"/>
  <c r="AR4" i="2"/>
  <c r="AR5" i="2"/>
  <c r="AR6" i="2"/>
  <c r="AR7" i="2"/>
  <c r="AR17" i="2"/>
  <c r="AR8" i="2"/>
  <c r="AR18" i="2"/>
  <c r="AR9" i="2"/>
  <c r="AR19" i="2"/>
  <c r="AR10" i="2"/>
  <c r="AR20" i="2"/>
  <c r="AR11" i="2"/>
  <c r="AR21" i="2"/>
  <c r="AR12" i="2"/>
  <c r="AR22" i="2"/>
  <c r="AR13" i="2"/>
  <c r="AR23" i="2"/>
  <c r="AR14" i="2"/>
  <c r="AR24" i="2"/>
  <c r="AR15" i="2"/>
  <c r="AR25" i="2"/>
  <c r="AR16" i="2"/>
  <c r="AR26" i="2"/>
  <c r="AR27" i="2"/>
  <c r="AS4" i="2"/>
  <c r="AS5" i="2"/>
  <c r="AS6" i="2"/>
  <c r="AS7" i="2"/>
  <c r="AS17" i="2"/>
  <c r="AS8" i="2"/>
  <c r="AS18" i="2"/>
  <c r="AS9" i="2"/>
  <c r="AS19" i="2"/>
  <c r="AS10" i="2"/>
  <c r="AS20" i="2"/>
  <c r="AS11" i="2"/>
  <c r="AS21" i="2"/>
  <c r="AS12" i="2"/>
  <c r="AS22" i="2"/>
  <c r="AS13" i="2"/>
  <c r="AS23" i="2"/>
  <c r="AS14" i="2"/>
  <c r="AS24" i="2"/>
  <c r="AS15" i="2"/>
  <c r="AS25" i="2"/>
  <c r="AS16" i="2"/>
  <c r="AS26" i="2"/>
  <c r="AS27" i="2"/>
  <c r="AT4" i="2"/>
  <c r="AT5" i="2"/>
  <c r="AT6" i="2"/>
  <c r="AT7" i="2"/>
  <c r="AT17" i="2"/>
  <c r="AT8" i="2"/>
  <c r="AT18" i="2"/>
  <c r="AT9" i="2"/>
  <c r="AT19" i="2"/>
  <c r="AT10" i="2"/>
  <c r="AT20" i="2"/>
  <c r="AT11" i="2"/>
  <c r="AT21" i="2"/>
  <c r="AT12" i="2"/>
  <c r="AT22" i="2"/>
  <c r="AT13" i="2"/>
  <c r="AT23" i="2"/>
  <c r="AT14" i="2"/>
  <c r="AT24" i="2"/>
  <c r="AT15" i="2"/>
  <c r="AT25" i="2"/>
  <c r="AT16" i="2"/>
  <c r="AT26" i="2"/>
  <c r="AT27" i="2"/>
  <c r="AU4" i="2"/>
  <c r="AU5" i="2"/>
  <c r="AU6" i="2"/>
  <c r="AU7" i="2"/>
  <c r="AU17" i="2"/>
  <c r="AU8" i="2"/>
  <c r="AU18" i="2"/>
  <c r="AU9" i="2"/>
  <c r="AU19" i="2"/>
  <c r="AU10" i="2"/>
  <c r="AU20" i="2"/>
  <c r="AU11" i="2"/>
  <c r="AU21" i="2"/>
  <c r="AU12" i="2"/>
  <c r="AU22" i="2"/>
  <c r="AU13" i="2"/>
  <c r="AU23" i="2"/>
  <c r="AU14" i="2"/>
  <c r="AU24" i="2"/>
  <c r="AU15" i="2"/>
  <c r="AU25" i="2"/>
  <c r="AU16" i="2"/>
  <c r="AU26" i="2"/>
  <c r="AU27" i="2"/>
  <c r="AV4" i="2"/>
  <c r="AV5" i="2"/>
  <c r="AV6" i="2"/>
  <c r="AV7" i="2"/>
  <c r="AV17" i="2"/>
  <c r="AV8" i="2"/>
  <c r="AV18" i="2"/>
  <c r="AV9" i="2"/>
  <c r="AV19" i="2"/>
  <c r="AV10" i="2"/>
  <c r="AV20" i="2"/>
  <c r="AV11" i="2"/>
  <c r="AV21" i="2"/>
  <c r="AV12" i="2"/>
  <c r="AV22" i="2"/>
  <c r="AV13" i="2"/>
  <c r="AV23" i="2"/>
  <c r="AV14" i="2"/>
  <c r="AV24" i="2"/>
  <c r="AV15" i="2"/>
  <c r="AV25" i="2"/>
  <c r="AV16" i="2"/>
  <c r="AV26" i="2"/>
  <c r="AV27" i="2"/>
  <c r="AW4" i="2"/>
  <c r="AW5" i="2"/>
  <c r="AW6" i="2"/>
  <c r="AW7" i="2"/>
  <c r="AW17" i="2"/>
  <c r="AW8" i="2"/>
  <c r="AW18" i="2"/>
  <c r="AW9" i="2"/>
  <c r="AW19" i="2"/>
  <c r="AW10" i="2"/>
  <c r="AW20" i="2"/>
  <c r="AW11" i="2"/>
  <c r="AW21" i="2"/>
  <c r="AW12" i="2"/>
  <c r="AW22" i="2"/>
  <c r="AW13" i="2"/>
  <c r="AW23" i="2"/>
  <c r="AW14" i="2"/>
  <c r="AW24" i="2"/>
  <c r="AW15" i="2"/>
  <c r="AW25" i="2"/>
  <c r="AW16" i="2"/>
  <c r="AW26" i="2"/>
  <c r="AW27" i="2"/>
  <c r="AX4" i="2"/>
  <c r="AX5" i="2"/>
  <c r="AX6" i="2"/>
  <c r="AX7" i="2"/>
  <c r="AX17" i="2"/>
  <c r="AX8" i="2"/>
  <c r="AX18" i="2"/>
  <c r="AX9" i="2"/>
  <c r="AX19" i="2"/>
  <c r="AX10" i="2"/>
  <c r="AX20" i="2"/>
  <c r="AX11" i="2"/>
  <c r="AX21" i="2"/>
  <c r="AX12" i="2"/>
  <c r="AX22" i="2"/>
  <c r="AX13" i="2"/>
  <c r="AX23" i="2"/>
  <c r="AX14" i="2"/>
  <c r="AX24" i="2"/>
  <c r="AX15" i="2"/>
  <c r="AX25" i="2"/>
  <c r="AX16" i="2"/>
  <c r="AX26" i="2"/>
  <c r="AX27" i="2"/>
  <c r="AY4" i="2"/>
  <c r="AY5" i="2"/>
  <c r="AY6" i="2"/>
  <c r="AY7" i="2"/>
  <c r="AY17" i="2"/>
  <c r="AY8" i="2"/>
  <c r="AY18" i="2"/>
  <c r="AY9" i="2"/>
  <c r="AY19" i="2"/>
  <c r="AY10" i="2"/>
  <c r="AY20" i="2"/>
  <c r="AY11" i="2"/>
  <c r="AY21" i="2"/>
  <c r="AY12" i="2"/>
  <c r="AY22" i="2"/>
  <c r="AY13" i="2"/>
  <c r="AY23" i="2"/>
  <c r="AY14" i="2"/>
  <c r="AY24" i="2"/>
  <c r="AY15" i="2"/>
  <c r="AY25" i="2"/>
  <c r="AY16" i="2"/>
  <c r="AY26" i="2"/>
  <c r="AY27" i="2"/>
  <c r="AZ4" i="2"/>
  <c r="AZ5" i="2"/>
  <c r="AZ6" i="2"/>
  <c r="AZ7" i="2"/>
  <c r="AZ17" i="2"/>
  <c r="AZ8" i="2"/>
  <c r="AZ18" i="2"/>
  <c r="AZ9" i="2"/>
  <c r="AZ19" i="2"/>
  <c r="AZ10" i="2"/>
  <c r="AZ20" i="2"/>
  <c r="AZ11" i="2"/>
  <c r="AZ21" i="2"/>
  <c r="AZ12" i="2"/>
  <c r="AZ22" i="2"/>
  <c r="AZ13" i="2"/>
  <c r="AZ23" i="2"/>
  <c r="AZ14" i="2"/>
  <c r="AZ24" i="2"/>
  <c r="AZ15" i="2"/>
  <c r="AZ25" i="2"/>
  <c r="AZ16" i="2"/>
  <c r="AZ26" i="2"/>
  <c r="AZ27" i="2"/>
  <c r="BA4" i="2"/>
  <c r="BA5" i="2"/>
  <c r="BA6" i="2"/>
  <c r="BA7" i="2"/>
  <c r="BA17" i="2"/>
  <c r="BA8" i="2"/>
  <c r="BA18" i="2"/>
  <c r="BA9" i="2"/>
  <c r="BA19" i="2"/>
  <c r="BA10" i="2"/>
  <c r="BA20" i="2"/>
  <c r="BA11" i="2"/>
  <c r="BA21" i="2"/>
  <c r="BA12" i="2"/>
  <c r="BA22" i="2"/>
  <c r="BA13" i="2"/>
  <c r="BA23" i="2"/>
  <c r="BA14" i="2"/>
  <c r="BA24" i="2"/>
  <c r="BA15" i="2"/>
  <c r="BA25" i="2"/>
  <c r="BA16" i="2"/>
  <c r="BA26" i="2"/>
  <c r="BA27" i="2"/>
  <c r="BB4" i="2"/>
  <c r="BB5" i="2"/>
  <c r="BB6" i="2"/>
  <c r="BB7" i="2"/>
  <c r="BB17" i="2"/>
  <c r="BB8" i="2"/>
  <c r="BB18" i="2"/>
  <c r="BB9" i="2"/>
  <c r="BB19" i="2"/>
  <c r="BB10" i="2"/>
  <c r="BB20" i="2"/>
  <c r="BB11" i="2"/>
  <c r="BB21" i="2"/>
  <c r="BB12" i="2"/>
  <c r="BB22" i="2"/>
  <c r="BB13" i="2"/>
  <c r="BB23" i="2"/>
  <c r="BB14" i="2"/>
  <c r="BB24" i="2"/>
  <c r="BB15" i="2"/>
  <c r="BB25" i="2"/>
  <c r="BB16" i="2"/>
  <c r="BB26" i="2"/>
  <c r="BB27" i="2"/>
  <c r="BC4" i="2"/>
  <c r="BC5" i="2"/>
  <c r="BC6" i="2"/>
  <c r="BC7" i="2"/>
  <c r="BC17" i="2"/>
  <c r="BC8" i="2"/>
  <c r="BC18" i="2"/>
  <c r="BC9" i="2"/>
  <c r="BC19" i="2"/>
  <c r="BC10" i="2"/>
  <c r="BC20" i="2"/>
  <c r="BC11" i="2"/>
  <c r="BC21" i="2"/>
  <c r="BC12" i="2"/>
  <c r="BC22" i="2"/>
  <c r="BC13" i="2"/>
  <c r="BC23" i="2"/>
  <c r="BC14" i="2"/>
  <c r="BC24" i="2"/>
  <c r="BC15" i="2"/>
  <c r="BC25" i="2"/>
  <c r="BC16" i="2"/>
  <c r="BC26" i="2"/>
  <c r="BC27" i="2"/>
  <c r="BD4" i="2"/>
  <c r="BD5" i="2"/>
  <c r="BD6" i="2"/>
  <c r="BD7" i="2"/>
  <c r="BD17" i="2"/>
  <c r="BD8" i="2"/>
  <c r="BD18" i="2"/>
  <c r="BD9" i="2"/>
  <c r="BD19" i="2"/>
  <c r="BD10" i="2"/>
  <c r="BD20" i="2"/>
  <c r="BD11" i="2"/>
  <c r="BD21" i="2"/>
  <c r="BD12" i="2"/>
  <c r="BD22" i="2"/>
  <c r="BD13" i="2"/>
  <c r="BD23" i="2"/>
  <c r="BD14" i="2"/>
  <c r="BD24" i="2"/>
  <c r="BD15" i="2"/>
  <c r="BD25" i="2"/>
  <c r="BD16" i="2"/>
  <c r="BD26" i="2"/>
  <c r="BD27" i="2"/>
  <c r="BE4" i="2"/>
  <c r="BE5" i="2"/>
  <c r="BE6" i="2"/>
  <c r="BE7" i="2"/>
  <c r="BE17" i="2"/>
  <c r="BE8" i="2"/>
  <c r="BE18" i="2"/>
  <c r="BE9" i="2"/>
  <c r="BE19" i="2"/>
  <c r="BE10" i="2"/>
  <c r="BE20" i="2"/>
  <c r="BE11" i="2"/>
  <c r="BE21" i="2"/>
  <c r="BE12" i="2"/>
  <c r="BE22" i="2"/>
  <c r="BE13" i="2"/>
  <c r="BE23" i="2"/>
  <c r="BE14" i="2"/>
  <c r="BE24" i="2"/>
  <c r="BE15" i="2"/>
  <c r="BE25" i="2"/>
  <c r="BE16" i="2"/>
  <c r="BE26" i="2"/>
  <c r="BE27" i="2"/>
  <c r="BF4" i="2"/>
  <c r="BF5" i="2"/>
  <c r="BF6" i="2"/>
  <c r="BF7" i="2"/>
  <c r="BF17" i="2"/>
  <c r="BF8" i="2"/>
  <c r="BF18" i="2"/>
  <c r="BF9" i="2"/>
  <c r="BF19" i="2"/>
  <c r="BF10" i="2"/>
  <c r="BF20" i="2"/>
  <c r="BF11" i="2"/>
  <c r="BF21" i="2"/>
  <c r="BF12" i="2"/>
  <c r="BF22" i="2"/>
  <c r="BF13" i="2"/>
  <c r="BF23" i="2"/>
  <c r="BF14" i="2"/>
  <c r="BF24" i="2"/>
  <c r="BF15" i="2"/>
  <c r="BF25" i="2"/>
  <c r="BF16" i="2"/>
  <c r="BF26" i="2"/>
  <c r="BF27" i="2"/>
  <c r="BG4" i="2"/>
  <c r="BG5" i="2"/>
  <c r="BG6" i="2"/>
  <c r="BG7" i="2"/>
  <c r="BG17" i="2"/>
  <c r="BG8" i="2"/>
  <c r="BG18" i="2"/>
  <c r="BG9" i="2"/>
  <c r="BG19" i="2"/>
  <c r="BG10" i="2"/>
  <c r="BG20" i="2"/>
  <c r="BG11" i="2"/>
  <c r="BG21" i="2"/>
  <c r="BG12" i="2"/>
  <c r="BG22" i="2"/>
  <c r="BG13" i="2"/>
  <c r="BG23" i="2"/>
  <c r="BG14" i="2"/>
  <c r="BG24" i="2"/>
  <c r="BG15" i="2"/>
  <c r="BG25" i="2"/>
  <c r="BG16" i="2"/>
  <c r="BG26" i="2"/>
  <c r="BG27" i="2"/>
  <c r="BH4" i="2"/>
  <c r="BH5" i="2"/>
  <c r="BH6" i="2"/>
  <c r="BH7" i="2"/>
  <c r="BH17" i="2"/>
  <c r="BH8" i="2"/>
  <c r="BH18" i="2"/>
  <c r="BH9" i="2"/>
  <c r="BH19" i="2"/>
  <c r="BH10" i="2"/>
  <c r="BH20" i="2"/>
  <c r="BH11" i="2"/>
  <c r="BH21" i="2"/>
  <c r="BH12" i="2"/>
  <c r="BH22" i="2"/>
  <c r="BH13" i="2"/>
  <c r="BH23" i="2"/>
  <c r="BH14" i="2"/>
  <c r="BH24" i="2"/>
  <c r="BH15" i="2"/>
  <c r="BH25" i="2"/>
  <c r="BH16" i="2"/>
  <c r="BH26" i="2"/>
  <c r="BH27" i="2"/>
  <c r="BI4" i="2"/>
  <c r="BI5" i="2"/>
  <c r="BI6" i="2"/>
  <c r="BI7" i="2"/>
  <c r="BI17" i="2"/>
  <c r="BI8" i="2"/>
  <c r="BI18" i="2"/>
  <c r="BI9" i="2"/>
  <c r="BI19" i="2"/>
  <c r="BI10" i="2"/>
  <c r="BI20" i="2"/>
  <c r="BI11" i="2"/>
  <c r="BI21" i="2"/>
  <c r="BI12" i="2"/>
  <c r="BI22" i="2"/>
  <c r="BI13" i="2"/>
  <c r="BI23" i="2"/>
  <c r="BI14" i="2"/>
  <c r="BI24" i="2"/>
  <c r="BI15" i="2"/>
  <c r="BI25" i="2"/>
  <c r="BI16" i="2"/>
  <c r="BI26" i="2"/>
  <c r="BI27" i="2"/>
  <c r="BJ4" i="2"/>
  <c r="BJ5" i="2"/>
  <c r="BJ6" i="2"/>
  <c r="BJ7" i="2"/>
  <c r="BJ17" i="2"/>
  <c r="BJ8" i="2"/>
  <c r="BJ18" i="2"/>
  <c r="BJ9" i="2"/>
  <c r="BJ19" i="2"/>
  <c r="BJ10" i="2"/>
  <c r="BJ20" i="2"/>
  <c r="BJ11" i="2"/>
  <c r="BJ21" i="2"/>
  <c r="BJ12" i="2"/>
  <c r="BJ22" i="2"/>
  <c r="BJ13" i="2"/>
  <c r="BJ23" i="2"/>
  <c r="BJ14" i="2"/>
  <c r="BJ24" i="2"/>
  <c r="BJ15" i="2"/>
  <c r="BJ25" i="2"/>
  <c r="BJ16" i="2"/>
  <c r="BJ26" i="2"/>
  <c r="BJ27" i="2"/>
  <c r="BK4" i="2"/>
  <c r="BK5" i="2"/>
  <c r="BK6" i="2"/>
  <c r="BK7" i="2"/>
  <c r="BK17" i="2"/>
  <c r="BK8" i="2"/>
  <c r="BK18" i="2"/>
  <c r="BK9" i="2"/>
  <c r="BK19" i="2"/>
  <c r="BK10" i="2"/>
  <c r="BK20" i="2"/>
  <c r="BK11" i="2"/>
  <c r="BK21" i="2"/>
  <c r="BK12" i="2"/>
  <c r="BK22" i="2"/>
  <c r="BK13" i="2"/>
  <c r="BK23" i="2"/>
  <c r="BK14" i="2"/>
  <c r="BK24" i="2"/>
  <c r="BK15" i="2"/>
  <c r="BK25" i="2"/>
  <c r="BK16" i="2"/>
  <c r="BK26" i="2"/>
  <c r="BK27" i="2"/>
  <c r="BL4" i="2"/>
  <c r="BL5" i="2"/>
  <c r="BL6" i="2"/>
  <c r="BL7" i="2"/>
  <c r="BL17" i="2"/>
  <c r="BL8" i="2"/>
  <c r="BL18" i="2"/>
  <c r="BL9" i="2"/>
  <c r="BL19" i="2"/>
  <c r="BL10" i="2"/>
  <c r="BL20" i="2"/>
  <c r="BL11" i="2"/>
  <c r="BL21" i="2"/>
  <c r="BL12" i="2"/>
  <c r="BL22" i="2"/>
  <c r="BL13" i="2"/>
  <c r="BL23" i="2"/>
  <c r="BL14" i="2"/>
  <c r="BL24" i="2"/>
  <c r="BL15" i="2"/>
  <c r="BL25" i="2"/>
  <c r="BL16" i="2"/>
  <c r="BL26" i="2"/>
  <c r="BL27" i="2"/>
  <c r="BM4" i="2"/>
  <c r="BM5" i="2"/>
  <c r="BM6" i="2"/>
  <c r="BM7" i="2"/>
  <c r="BM17" i="2"/>
  <c r="BM8" i="2"/>
  <c r="BM18" i="2"/>
  <c r="BM9" i="2"/>
  <c r="BM19" i="2"/>
  <c r="BM10" i="2"/>
  <c r="BM20" i="2"/>
  <c r="BM11" i="2"/>
  <c r="BM21" i="2"/>
  <c r="BM12" i="2"/>
  <c r="BM22" i="2"/>
  <c r="BM13" i="2"/>
  <c r="BM23" i="2"/>
  <c r="BM14" i="2"/>
  <c r="BM24" i="2"/>
  <c r="BM15" i="2"/>
  <c r="BM25" i="2"/>
  <c r="BM16" i="2"/>
  <c r="BM26" i="2"/>
  <c r="BM27" i="2"/>
  <c r="BN4" i="2"/>
  <c r="BN5" i="2"/>
  <c r="BN6" i="2"/>
  <c r="BN7" i="2"/>
  <c r="BN17" i="2"/>
  <c r="BN8" i="2"/>
  <c r="BN18" i="2"/>
  <c r="BN9" i="2"/>
  <c r="BN19" i="2"/>
  <c r="BN10" i="2"/>
  <c r="BN20" i="2"/>
  <c r="BN11" i="2"/>
  <c r="BN21" i="2"/>
  <c r="BN12" i="2"/>
  <c r="BN22" i="2"/>
  <c r="BN13" i="2"/>
  <c r="BN23" i="2"/>
  <c r="BN14" i="2"/>
  <c r="BN24" i="2"/>
  <c r="BN15" i="2"/>
  <c r="BN25" i="2"/>
  <c r="BN16" i="2"/>
  <c r="BN26" i="2"/>
  <c r="BN27" i="2"/>
  <c r="BO4" i="2"/>
  <c r="BO5" i="2"/>
  <c r="BO6" i="2"/>
  <c r="BO7" i="2"/>
  <c r="BO17" i="2"/>
  <c r="BO8" i="2"/>
  <c r="BO18" i="2"/>
  <c r="BO9" i="2"/>
  <c r="BO19" i="2"/>
  <c r="BO10" i="2"/>
  <c r="BO20" i="2"/>
  <c r="BO11" i="2"/>
  <c r="BO21" i="2"/>
  <c r="BO12" i="2"/>
  <c r="BO22" i="2"/>
  <c r="BO13" i="2"/>
  <c r="BO23" i="2"/>
  <c r="BO14" i="2"/>
  <c r="BO24" i="2"/>
  <c r="BO15" i="2"/>
  <c r="BO25" i="2"/>
  <c r="BO16" i="2"/>
  <c r="BO26" i="2"/>
  <c r="BO27" i="2"/>
  <c r="BP4" i="2"/>
  <c r="BP5" i="2"/>
  <c r="BP6" i="2"/>
  <c r="BP7" i="2"/>
  <c r="BP17" i="2"/>
  <c r="BP8" i="2"/>
  <c r="BP18" i="2"/>
  <c r="BP9" i="2"/>
  <c r="BP19" i="2"/>
  <c r="BP10" i="2"/>
  <c r="BP20" i="2"/>
  <c r="BP11" i="2"/>
  <c r="BP21" i="2"/>
  <c r="BP12" i="2"/>
  <c r="BP22" i="2"/>
  <c r="BP13" i="2"/>
  <c r="BP23" i="2"/>
  <c r="BP14" i="2"/>
  <c r="BP24" i="2"/>
  <c r="BP15" i="2"/>
  <c r="BP25" i="2"/>
  <c r="BP16" i="2"/>
  <c r="BP26" i="2"/>
  <c r="BP27" i="2"/>
  <c r="BQ4" i="2"/>
  <c r="BQ5" i="2"/>
  <c r="BQ6" i="2"/>
  <c r="BQ7" i="2"/>
  <c r="BQ17" i="2"/>
  <c r="BQ8" i="2"/>
  <c r="BQ18" i="2"/>
  <c r="BQ9" i="2"/>
  <c r="BQ19" i="2"/>
  <c r="BQ10" i="2"/>
  <c r="BQ20" i="2"/>
  <c r="BQ11" i="2"/>
  <c r="BQ21" i="2"/>
  <c r="BQ12" i="2"/>
  <c r="BQ22" i="2"/>
  <c r="BQ13" i="2"/>
  <c r="BQ23" i="2"/>
  <c r="BQ14" i="2"/>
  <c r="BQ24" i="2"/>
  <c r="BQ15" i="2"/>
  <c r="BQ25" i="2"/>
  <c r="BQ16" i="2"/>
  <c r="BQ26" i="2"/>
  <c r="BQ27" i="2"/>
  <c r="BR4" i="2"/>
  <c r="BR5" i="2"/>
  <c r="BR6" i="2"/>
  <c r="BR7" i="2"/>
  <c r="BR17" i="2"/>
  <c r="BR8" i="2"/>
  <c r="BR18" i="2"/>
  <c r="BR9" i="2"/>
  <c r="BR19" i="2"/>
  <c r="BR10" i="2"/>
  <c r="BR20" i="2"/>
  <c r="BR11" i="2"/>
  <c r="BR21" i="2"/>
  <c r="BR12" i="2"/>
  <c r="BR22" i="2"/>
  <c r="BR13" i="2"/>
  <c r="BR23" i="2"/>
  <c r="BR14" i="2"/>
  <c r="BR24" i="2"/>
  <c r="BR15" i="2"/>
  <c r="BR25" i="2"/>
  <c r="BR16" i="2"/>
  <c r="BR26" i="2"/>
  <c r="BR27" i="2"/>
  <c r="BS4" i="2"/>
  <c r="BS5" i="2"/>
  <c r="BS6" i="2"/>
  <c r="BS7" i="2"/>
  <c r="BS17" i="2"/>
  <c r="BS8" i="2"/>
  <c r="BS18" i="2"/>
  <c r="BS9" i="2"/>
  <c r="BS19" i="2"/>
  <c r="BS10" i="2"/>
  <c r="BS20" i="2"/>
  <c r="BS11" i="2"/>
  <c r="BS21" i="2"/>
  <c r="BS12" i="2"/>
  <c r="BS22" i="2"/>
  <c r="BS13" i="2"/>
  <c r="BS23" i="2"/>
  <c r="BS14" i="2"/>
  <c r="BS24" i="2"/>
  <c r="BS15" i="2"/>
  <c r="BS25" i="2"/>
  <c r="BS16" i="2"/>
  <c r="BS26" i="2"/>
  <c r="BS27" i="2"/>
  <c r="BT4" i="2"/>
  <c r="BT5" i="2"/>
  <c r="BT6" i="2"/>
  <c r="BT7" i="2"/>
  <c r="BT17" i="2"/>
  <c r="BT8" i="2"/>
  <c r="BT18" i="2"/>
  <c r="BT9" i="2"/>
  <c r="BT19" i="2"/>
  <c r="BT10" i="2"/>
  <c r="BT20" i="2"/>
  <c r="BT11" i="2"/>
  <c r="BT21" i="2"/>
  <c r="BT12" i="2"/>
  <c r="BT22" i="2"/>
  <c r="BT13" i="2"/>
  <c r="BT23" i="2"/>
  <c r="BT14" i="2"/>
  <c r="BT24" i="2"/>
  <c r="BT15" i="2"/>
  <c r="BT25" i="2"/>
  <c r="BT16" i="2"/>
  <c r="BT26" i="2"/>
  <c r="BT27" i="2"/>
  <c r="BU4" i="2"/>
  <c r="BU5" i="2"/>
  <c r="BU6" i="2"/>
  <c r="BU7" i="2"/>
  <c r="BU17" i="2"/>
  <c r="BU8" i="2"/>
  <c r="BU18" i="2"/>
  <c r="BU9" i="2"/>
  <c r="BU19" i="2"/>
  <c r="BU10" i="2"/>
  <c r="BU20" i="2"/>
  <c r="BU11" i="2"/>
  <c r="BU21" i="2"/>
  <c r="BU12" i="2"/>
  <c r="BU22" i="2"/>
  <c r="BU13" i="2"/>
  <c r="BU23" i="2"/>
  <c r="BU14" i="2"/>
  <c r="BU24" i="2"/>
  <c r="BU15" i="2"/>
  <c r="BU25" i="2"/>
  <c r="BU16" i="2"/>
  <c r="BU26" i="2"/>
  <c r="BU27" i="2"/>
  <c r="BV4" i="2"/>
  <c r="BV5" i="2"/>
  <c r="BV6" i="2"/>
  <c r="BV7" i="2"/>
  <c r="BV17" i="2"/>
  <c r="BV8" i="2"/>
  <c r="BV18" i="2"/>
  <c r="BV9" i="2"/>
  <c r="BV19" i="2"/>
  <c r="BV10" i="2"/>
  <c r="BV20" i="2"/>
  <c r="BV11" i="2"/>
  <c r="BV21" i="2"/>
  <c r="BV12" i="2"/>
  <c r="BV22" i="2"/>
  <c r="BV13" i="2"/>
  <c r="BV23" i="2"/>
  <c r="BV14" i="2"/>
  <c r="BV24" i="2"/>
  <c r="BV15" i="2"/>
  <c r="BV25" i="2"/>
  <c r="BV16" i="2"/>
  <c r="BV26" i="2"/>
  <c r="BV27" i="2"/>
  <c r="BW4" i="2"/>
  <c r="BW5" i="2"/>
  <c r="BW6" i="2"/>
  <c r="BW7" i="2"/>
  <c r="BW17" i="2"/>
  <c r="BW8" i="2"/>
  <c r="BW18" i="2"/>
  <c r="BW9" i="2"/>
  <c r="BW19" i="2"/>
  <c r="BW10" i="2"/>
  <c r="BW20" i="2"/>
  <c r="BW11" i="2"/>
  <c r="BW21" i="2"/>
  <c r="BW12" i="2"/>
  <c r="BW22" i="2"/>
  <c r="BW13" i="2"/>
  <c r="BW23" i="2"/>
  <c r="BW14" i="2"/>
  <c r="BW24" i="2"/>
  <c r="BW15" i="2"/>
  <c r="BW25" i="2"/>
  <c r="BW16" i="2"/>
  <c r="BW26" i="2"/>
  <c r="BW27" i="2"/>
  <c r="BX4" i="2"/>
  <c r="BX5" i="2"/>
  <c r="BX6" i="2"/>
  <c r="BX7" i="2"/>
  <c r="BX17" i="2"/>
  <c r="BX8" i="2"/>
  <c r="BX18" i="2"/>
  <c r="BX9" i="2"/>
  <c r="BX19" i="2"/>
  <c r="BX10" i="2"/>
  <c r="BX20" i="2"/>
  <c r="BX11" i="2"/>
  <c r="BX21" i="2"/>
  <c r="BX12" i="2"/>
  <c r="BX22" i="2"/>
  <c r="BX13" i="2"/>
  <c r="BX23" i="2"/>
  <c r="BX14" i="2"/>
  <c r="BX24" i="2"/>
  <c r="BX15" i="2"/>
  <c r="BX25" i="2"/>
  <c r="BX16" i="2"/>
  <c r="BX26" i="2"/>
  <c r="BX27" i="2"/>
  <c r="BY4" i="2"/>
  <c r="BY5" i="2"/>
  <c r="BY6" i="2"/>
  <c r="BY7" i="2"/>
  <c r="BY17" i="2"/>
  <c r="BY8" i="2"/>
  <c r="BY18" i="2"/>
  <c r="BY9" i="2"/>
  <c r="BY19" i="2"/>
  <c r="BY10" i="2"/>
  <c r="BY20" i="2"/>
  <c r="BY11" i="2"/>
  <c r="BY21" i="2"/>
  <c r="BY12" i="2"/>
  <c r="BY22" i="2"/>
  <c r="BY13" i="2"/>
  <c r="BY23" i="2"/>
  <c r="BY14" i="2"/>
  <c r="BY24" i="2"/>
  <c r="BY15" i="2"/>
  <c r="BY25" i="2"/>
  <c r="BY16" i="2"/>
  <c r="BY26" i="2"/>
  <c r="BY27" i="2"/>
  <c r="BZ4" i="2"/>
  <c r="BZ5" i="2"/>
  <c r="BZ6" i="2"/>
  <c r="BZ7" i="2"/>
  <c r="BZ17" i="2"/>
  <c r="BZ8" i="2"/>
  <c r="BZ18" i="2"/>
  <c r="BZ9" i="2"/>
  <c r="BZ19" i="2"/>
  <c r="BZ10" i="2"/>
  <c r="BZ20" i="2"/>
  <c r="BZ11" i="2"/>
  <c r="BZ21" i="2"/>
  <c r="BZ12" i="2"/>
  <c r="BZ22" i="2"/>
  <c r="BZ13" i="2"/>
  <c r="BZ23" i="2"/>
  <c r="BZ14" i="2"/>
  <c r="BZ24" i="2"/>
  <c r="BZ15" i="2"/>
  <c r="BZ25" i="2"/>
  <c r="BZ16" i="2"/>
  <c r="BZ26" i="2"/>
  <c r="BZ27" i="2"/>
  <c r="CA4" i="2"/>
  <c r="CA5" i="2"/>
  <c r="CA6" i="2"/>
  <c r="CA7" i="2"/>
  <c r="CA17" i="2"/>
  <c r="CA8" i="2"/>
  <c r="CA18" i="2"/>
  <c r="CA9" i="2"/>
  <c r="CA19" i="2"/>
  <c r="CA10" i="2"/>
  <c r="CA20" i="2"/>
  <c r="CA11" i="2"/>
  <c r="CA21" i="2"/>
  <c r="CA12" i="2"/>
  <c r="CA22" i="2"/>
  <c r="CA13" i="2"/>
  <c r="CA23" i="2"/>
  <c r="CA14" i="2"/>
  <c r="CA24" i="2"/>
  <c r="CA15" i="2"/>
  <c r="CA25" i="2"/>
  <c r="CA16" i="2"/>
  <c r="CA26" i="2"/>
  <c r="CA27" i="2"/>
  <c r="CB4" i="2"/>
  <c r="CB5" i="2"/>
  <c r="CB6" i="2"/>
  <c r="CB7" i="2"/>
  <c r="CB17" i="2"/>
  <c r="CB8" i="2"/>
  <c r="CB18" i="2"/>
  <c r="CB9" i="2"/>
  <c r="CB19" i="2"/>
  <c r="CB10" i="2"/>
  <c r="CB20" i="2"/>
  <c r="CB11" i="2"/>
  <c r="CB21" i="2"/>
  <c r="CB12" i="2"/>
  <c r="CB22" i="2"/>
  <c r="CB13" i="2"/>
  <c r="CB23" i="2"/>
  <c r="CB14" i="2"/>
  <c r="CB24" i="2"/>
  <c r="CB15" i="2"/>
  <c r="CB25" i="2"/>
  <c r="CB16" i="2"/>
  <c r="CB26" i="2"/>
  <c r="CB27" i="2"/>
  <c r="CC4" i="2"/>
  <c r="CC5" i="2"/>
  <c r="CC6" i="2"/>
  <c r="CC7" i="2"/>
  <c r="CC17" i="2"/>
  <c r="CC8" i="2"/>
  <c r="CC18" i="2"/>
  <c r="CC9" i="2"/>
  <c r="CC19" i="2"/>
  <c r="CC10" i="2"/>
  <c r="CC20" i="2"/>
  <c r="CC11" i="2"/>
  <c r="CC21" i="2"/>
  <c r="CC12" i="2"/>
  <c r="CC22" i="2"/>
  <c r="CC13" i="2"/>
  <c r="CC23" i="2"/>
  <c r="CC14" i="2"/>
  <c r="CC24" i="2"/>
  <c r="CC15" i="2"/>
  <c r="CC25" i="2"/>
  <c r="CC16" i="2"/>
  <c r="CC26" i="2"/>
  <c r="CC27" i="2"/>
  <c r="CD4" i="2"/>
  <c r="CD5" i="2"/>
  <c r="CD6" i="2"/>
  <c r="CD7" i="2"/>
  <c r="CD17" i="2"/>
  <c r="CD8" i="2"/>
  <c r="CD18" i="2"/>
  <c r="CD9" i="2"/>
  <c r="CD19" i="2"/>
  <c r="CD10" i="2"/>
  <c r="CD20" i="2"/>
  <c r="CD11" i="2"/>
  <c r="CD21" i="2"/>
  <c r="CD12" i="2"/>
  <c r="CD22" i="2"/>
  <c r="CD13" i="2"/>
  <c r="CD23" i="2"/>
  <c r="CD14" i="2"/>
  <c r="CD24" i="2"/>
  <c r="CD15" i="2"/>
  <c r="CD25" i="2"/>
  <c r="CD16" i="2"/>
  <c r="CD26" i="2"/>
  <c r="CD27" i="2"/>
  <c r="CE4" i="2"/>
  <c r="CE5" i="2"/>
  <c r="CE6" i="2"/>
  <c r="CE7" i="2"/>
  <c r="CE17" i="2"/>
  <c r="CE8" i="2"/>
  <c r="CE18" i="2"/>
  <c r="CE9" i="2"/>
  <c r="CE19" i="2"/>
  <c r="CE10" i="2"/>
  <c r="CE20" i="2"/>
  <c r="CE11" i="2"/>
  <c r="CE21" i="2"/>
  <c r="CE12" i="2"/>
  <c r="CE22" i="2"/>
  <c r="CE13" i="2"/>
  <c r="CE23" i="2"/>
  <c r="CE14" i="2"/>
  <c r="CE24" i="2"/>
  <c r="CE15" i="2"/>
  <c r="CE25" i="2"/>
  <c r="CE16" i="2"/>
  <c r="CE26" i="2"/>
  <c r="CE27" i="2"/>
  <c r="CF4" i="2"/>
  <c r="CF5" i="2"/>
  <c r="CF6" i="2"/>
  <c r="U8" i="1"/>
  <c r="J26" i="1"/>
  <c r="N26" i="1"/>
  <c r="J27" i="1"/>
  <c r="N27" i="1"/>
  <c r="J28" i="1"/>
  <c r="N28" i="1"/>
  <c r="J29" i="1"/>
  <c r="N29" i="1"/>
  <c r="J30" i="1"/>
  <c r="N30" i="1"/>
  <c r="J31" i="1"/>
  <c r="N31" i="1"/>
  <c r="J32" i="1"/>
  <c r="N32" i="1"/>
  <c r="J33" i="1"/>
  <c r="N33" i="1"/>
  <c r="J34" i="1"/>
  <c r="N34" i="1"/>
  <c r="J35" i="1"/>
  <c r="N35" i="1"/>
  <c r="N36" i="1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I44" i="2"/>
  <c r="AI35" i="2"/>
  <c r="AI45" i="2"/>
  <c r="AI36" i="2"/>
  <c r="AI46" i="2"/>
  <c r="AI37" i="2"/>
  <c r="AI47" i="2"/>
  <c r="AI38" i="2"/>
  <c r="AI48" i="2"/>
  <c r="AI39" i="2"/>
  <c r="AI49" i="2"/>
  <c r="AI40" i="2"/>
  <c r="AI50" i="2"/>
  <c r="AI41" i="2"/>
  <c r="AI51" i="2"/>
  <c r="AI42" i="2"/>
  <c r="AI52" i="2"/>
  <c r="AI43" i="2"/>
  <c r="AI53" i="2"/>
  <c r="AI54" i="2"/>
  <c r="AJ31" i="2"/>
  <c r="AJ32" i="2"/>
  <c r="AJ33" i="2"/>
  <c r="AJ44" i="2"/>
  <c r="AJ35" i="2"/>
  <c r="AJ45" i="2"/>
  <c r="AJ36" i="2"/>
  <c r="AJ46" i="2"/>
  <c r="AJ37" i="2"/>
  <c r="AJ47" i="2"/>
  <c r="AJ38" i="2"/>
  <c r="AJ48" i="2"/>
  <c r="AJ39" i="2"/>
  <c r="AJ49" i="2"/>
  <c r="AJ40" i="2"/>
  <c r="AJ50" i="2"/>
  <c r="AJ41" i="2"/>
  <c r="AJ51" i="2"/>
  <c r="AJ42" i="2"/>
  <c r="AJ52" i="2"/>
  <c r="AJ43" i="2"/>
  <c r="AJ53" i="2"/>
  <c r="AJ54" i="2"/>
  <c r="AK31" i="2"/>
  <c r="AK32" i="2"/>
  <c r="AK33" i="2"/>
  <c r="AK44" i="2"/>
  <c r="AK35" i="2"/>
  <c r="AK45" i="2"/>
  <c r="AK36" i="2"/>
  <c r="AK46" i="2"/>
  <c r="AK37" i="2"/>
  <c r="AK47" i="2"/>
  <c r="AK38" i="2"/>
  <c r="AK48" i="2"/>
  <c r="AK39" i="2"/>
  <c r="AK49" i="2"/>
  <c r="AK40" i="2"/>
  <c r="AK50" i="2"/>
  <c r="AK41" i="2"/>
  <c r="AK51" i="2"/>
  <c r="AK42" i="2"/>
  <c r="AK52" i="2"/>
  <c r="AK43" i="2"/>
  <c r="AK53" i="2"/>
  <c r="AK54" i="2"/>
  <c r="AL31" i="2"/>
  <c r="AL32" i="2"/>
  <c r="AL33" i="2"/>
  <c r="AL44" i="2"/>
  <c r="AL35" i="2"/>
  <c r="AL45" i="2"/>
  <c r="AL36" i="2"/>
  <c r="AL46" i="2"/>
  <c r="AL37" i="2"/>
  <c r="AL47" i="2"/>
  <c r="AL38" i="2"/>
  <c r="AL48" i="2"/>
  <c r="AL39" i="2"/>
  <c r="AL49" i="2"/>
  <c r="AL40" i="2"/>
  <c r="AL50" i="2"/>
  <c r="AL41" i="2"/>
  <c r="AL51" i="2"/>
  <c r="AL42" i="2"/>
  <c r="AL52" i="2"/>
  <c r="AL43" i="2"/>
  <c r="AL53" i="2"/>
  <c r="AL54" i="2"/>
  <c r="AM31" i="2"/>
  <c r="AM32" i="2"/>
  <c r="AM33" i="2"/>
  <c r="AM44" i="2"/>
  <c r="AM35" i="2"/>
  <c r="AM45" i="2"/>
  <c r="AM36" i="2"/>
  <c r="AM46" i="2"/>
  <c r="AM37" i="2"/>
  <c r="AM47" i="2"/>
  <c r="AM38" i="2"/>
  <c r="AM48" i="2"/>
  <c r="AM39" i="2"/>
  <c r="AM49" i="2"/>
  <c r="AM40" i="2"/>
  <c r="AM50" i="2"/>
  <c r="AM41" i="2"/>
  <c r="AM51" i="2"/>
  <c r="AM42" i="2"/>
  <c r="AM52" i="2"/>
  <c r="AM43" i="2"/>
  <c r="AM53" i="2"/>
  <c r="AM54" i="2"/>
  <c r="AN31" i="2"/>
  <c r="AN32" i="2"/>
  <c r="AN33" i="2"/>
  <c r="AN44" i="2"/>
  <c r="AN35" i="2"/>
  <c r="AN45" i="2"/>
  <c r="AN36" i="2"/>
  <c r="AN46" i="2"/>
  <c r="AN37" i="2"/>
  <c r="AN47" i="2"/>
  <c r="AN38" i="2"/>
  <c r="AN48" i="2"/>
  <c r="AN39" i="2"/>
  <c r="AN49" i="2"/>
  <c r="AN40" i="2"/>
  <c r="AN50" i="2"/>
  <c r="AN41" i="2"/>
  <c r="AN51" i="2"/>
  <c r="AN42" i="2"/>
  <c r="AN52" i="2"/>
  <c r="AN43" i="2"/>
  <c r="AN53" i="2"/>
  <c r="AN54" i="2"/>
  <c r="AO31" i="2"/>
  <c r="AO32" i="2"/>
  <c r="AO33" i="2"/>
  <c r="AO44" i="2"/>
  <c r="AO35" i="2"/>
  <c r="AO45" i="2"/>
  <c r="AO36" i="2"/>
  <c r="AO46" i="2"/>
  <c r="AO37" i="2"/>
  <c r="AO47" i="2"/>
  <c r="AO38" i="2"/>
  <c r="AO48" i="2"/>
  <c r="AO39" i="2"/>
  <c r="AO49" i="2"/>
  <c r="AO40" i="2"/>
  <c r="AO50" i="2"/>
  <c r="AO41" i="2"/>
  <c r="AO51" i="2"/>
  <c r="AO42" i="2"/>
  <c r="AO52" i="2"/>
  <c r="AO43" i="2"/>
  <c r="AO53" i="2"/>
  <c r="AO54" i="2"/>
  <c r="AP31" i="2"/>
  <c r="AP32" i="2"/>
  <c r="AP33" i="2"/>
  <c r="AP44" i="2"/>
  <c r="AP35" i="2"/>
  <c r="AP45" i="2"/>
  <c r="AP36" i="2"/>
  <c r="AP46" i="2"/>
  <c r="AP37" i="2"/>
  <c r="AP47" i="2"/>
  <c r="AP38" i="2"/>
  <c r="AP48" i="2"/>
  <c r="AP39" i="2"/>
  <c r="AP49" i="2"/>
  <c r="AP40" i="2"/>
  <c r="AP50" i="2"/>
  <c r="AP41" i="2"/>
  <c r="AP51" i="2"/>
  <c r="AP42" i="2"/>
  <c r="AP52" i="2"/>
  <c r="AP43" i="2"/>
  <c r="AP53" i="2"/>
  <c r="AP54" i="2"/>
  <c r="AQ31" i="2"/>
  <c r="AQ32" i="2"/>
  <c r="AQ33" i="2"/>
  <c r="AQ44" i="2"/>
  <c r="AQ35" i="2"/>
  <c r="AQ45" i="2"/>
  <c r="AQ36" i="2"/>
  <c r="AQ46" i="2"/>
  <c r="AQ37" i="2"/>
  <c r="AQ47" i="2"/>
  <c r="AQ38" i="2"/>
  <c r="AQ48" i="2"/>
  <c r="AQ39" i="2"/>
  <c r="AQ49" i="2"/>
  <c r="AQ40" i="2"/>
  <c r="AQ50" i="2"/>
  <c r="AQ41" i="2"/>
  <c r="AQ51" i="2"/>
  <c r="AQ42" i="2"/>
  <c r="AQ52" i="2"/>
  <c r="AQ43" i="2"/>
  <c r="AQ53" i="2"/>
  <c r="AQ54" i="2"/>
  <c r="AR31" i="2"/>
  <c r="AR32" i="2"/>
  <c r="AR33" i="2"/>
  <c r="AR44" i="2"/>
  <c r="AR35" i="2"/>
  <c r="AR45" i="2"/>
  <c r="AR36" i="2"/>
  <c r="AR46" i="2"/>
  <c r="AR37" i="2"/>
  <c r="AR47" i="2"/>
  <c r="AR38" i="2"/>
  <c r="AR48" i="2"/>
  <c r="AR39" i="2"/>
  <c r="AR49" i="2"/>
  <c r="AR40" i="2"/>
  <c r="AR50" i="2"/>
  <c r="AR41" i="2"/>
  <c r="AR51" i="2"/>
  <c r="AR42" i="2"/>
  <c r="AR52" i="2"/>
  <c r="AR43" i="2"/>
  <c r="AR53" i="2"/>
  <c r="AR54" i="2"/>
  <c r="AS31" i="2"/>
  <c r="AS32" i="2"/>
  <c r="AS33" i="2"/>
  <c r="AS44" i="2"/>
  <c r="AS35" i="2"/>
  <c r="AS45" i="2"/>
  <c r="AS36" i="2"/>
  <c r="AS46" i="2"/>
  <c r="AS37" i="2"/>
  <c r="AS47" i="2"/>
  <c r="AS38" i="2"/>
  <c r="AS48" i="2"/>
  <c r="AS39" i="2"/>
  <c r="AS49" i="2"/>
  <c r="AS40" i="2"/>
  <c r="AS50" i="2"/>
  <c r="AS41" i="2"/>
  <c r="AS51" i="2"/>
  <c r="AS42" i="2"/>
  <c r="AS52" i="2"/>
  <c r="AS43" i="2"/>
  <c r="AS53" i="2"/>
  <c r="AS54" i="2"/>
  <c r="AT31" i="2"/>
  <c r="AT32" i="2"/>
  <c r="AT33" i="2"/>
  <c r="AT44" i="2"/>
  <c r="AT35" i="2"/>
  <c r="AT45" i="2"/>
  <c r="AT36" i="2"/>
  <c r="AT46" i="2"/>
  <c r="AT37" i="2"/>
  <c r="AT47" i="2"/>
  <c r="AT38" i="2"/>
  <c r="AT48" i="2"/>
  <c r="AT39" i="2"/>
  <c r="AT49" i="2"/>
  <c r="AT40" i="2"/>
  <c r="AT50" i="2"/>
  <c r="AT41" i="2"/>
  <c r="AT51" i="2"/>
  <c r="AT42" i="2"/>
  <c r="AT52" i="2"/>
  <c r="AT43" i="2"/>
  <c r="AT53" i="2"/>
  <c r="AT54" i="2"/>
  <c r="AU31" i="2"/>
  <c r="AU32" i="2"/>
  <c r="AU33" i="2"/>
  <c r="AU44" i="2"/>
  <c r="AU35" i="2"/>
  <c r="AU45" i="2"/>
  <c r="AU36" i="2"/>
  <c r="AU46" i="2"/>
  <c r="AU37" i="2"/>
  <c r="AU47" i="2"/>
  <c r="AU38" i="2"/>
  <c r="AU48" i="2"/>
  <c r="AU39" i="2"/>
  <c r="AU49" i="2"/>
  <c r="AU40" i="2"/>
  <c r="AU50" i="2"/>
  <c r="AU41" i="2"/>
  <c r="AU51" i="2"/>
  <c r="AU42" i="2"/>
  <c r="AU52" i="2"/>
  <c r="AU43" i="2"/>
  <c r="AU53" i="2"/>
  <c r="AU54" i="2"/>
  <c r="AV31" i="2"/>
  <c r="AV32" i="2"/>
  <c r="AV33" i="2"/>
  <c r="AV44" i="2"/>
  <c r="AV35" i="2"/>
  <c r="AV45" i="2"/>
  <c r="AV36" i="2"/>
  <c r="AV46" i="2"/>
  <c r="AV37" i="2"/>
  <c r="AV47" i="2"/>
  <c r="AV38" i="2"/>
  <c r="AV48" i="2"/>
  <c r="AV39" i="2"/>
  <c r="AV49" i="2"/>
  <c r="AV40" i="2"/>
  <c r="AV50" i="2"/>
  <c r="AV41" i="2"/>
  <c r="AV51" i="2"/>
  <c r="AV42" i="2"/>
  <c r="AV52" i="2"/>
  <c r="AV43" i="2"/>
  <c r="AV53" i="2"/>
  <c r="AV54" i="2"/>
  <c r="AW31" i="2"/>
  <c r="AW32" i="2"/>
  <c r="AW33" i="2"/>
  <c r="AW44" i="2"/>
  <c r="AW35" i="2"/>
  <c r="AW45" i="2"/>
  <c r="AW36" i="2"/>
  <c r="AW46" i="2"/>
  <c r="AW37" i="2"/>
  <c r="AW47" i="2"/>
  <c r="AW38" i="2"/>
  <c r="AW48" i="2"/>
  <c r="AW39" i="2"/>
  <c r="AW49" i="2"/>
  <c r="AW40" i="2"/>
  <c r="AW50" i="2"/>
  <c r="AW41" i="2"/>
  <c r="AW51" i="2"/>
  <c r="AW42" i="2"/>
  <c r="AW52" i="2"/>
  <c r="AW43" i="2"/>
  <c r="AW53" i="2"/>
  <c r="AW54" i="2"/>
  <c r="AX31" i="2"/>
  <c r="AX32" i="2"/>
  <c r="AX33" i="2"/>
  <c r="AX44" i="2"/>
  <c r="AX35" i="2"/>
  <c r="AX45" i="2"/>
  <c r="AX36" i="2"/>
  <c r="AX46" i="2"/>
  <c r="AX37" i="2"/>
  <c r="AX47" i="2"/>
  <c r="AX38" i="2"/>
  <c r="AX48" i="2"/>
  <c r="AX39" i="2"/>
  <c r="AX49" i="2"/>
  <c r="AX40" i="2"/>
  <c r="AX50" i="2"/>
  <c r="AX41" i="2"/>
  <c r="AX51" i="2"/>
  <c r="AX42" i="2"/>
  <c r="AX52" i="2"/>
  <c r="AX43" i="2"/>
  <c r="AX53" i="2"/>
  <c r="AX54" i="2"/>
  <c r="AY31" i="2"/>
  <c r="AY32" i="2"/>
  <c r="AY33" i="2"/>
  <c r="AY44" i="2"/>
  <c r="AY35" i="2"/>
  <c r="AY45" i="2"/>
  <c r="AY36" i="2"/>
  <c r="AY46" i="2"/>
  <c r="AY37" i="2"/>
  <c r="AY47" i="2"/>
  <c r="AY38" i="2"/>
  <c r="AY48" i="2"/>
  <c r="AY39" i="2"/>
  <c r="AY49" i="2"/>
  <c r="AY40" i="2"/>
  <c r="AY50" i="2"/>
  <c r="AY41" i="2"/>
  <c r="AY51" i="2"/>
  <c r="AY42" i="2"/>
  <c r="AY52" i="2"/>
  <c r="AY43" i="2"/>
  <c r="AY53" i="2"/>
  <c r="AY54" i="2"/>
  <c r="AZ31" i="2"/>
  <c r="AZ32" i="2"/>
  <c r="AZ33" i="2"/>
  <c r="AZ44" i="2"/>
  <c r="AZ35" i="2"/>
  <c r="AZ45" i="2"/>
  <c r="AZ36" i="2"/>
  <c r="AZ46" i="2"/>
  <c r="AZ37" i="2"/>
  <c r="AZ47" i="2"/>
  <c r="AZ38" i="2"/>
  <c r="AZ48" i="2"/>
  <c r="AZ39" i="2"/>
  <c r="AZ49" i="2"/>
  <c r="AZ40" i="2"/>
  <c r="AZ50" i="2"/>
  <c r="AZ41" i="2"/>
  <c r="AZ51" i="2"/>
  <c r="AZ42" i="2"/>
  <c r="AZ52" i="2"/>
  <c r="AZ43" i="2"/>
  <c r="AZ53" i="2"/>
  <c r="AZ54" i="2"/>
  <c r="BA31" i="2"/>
  <c r="BA32" i="2"/>
  <c r="BA33" i="2"/>
  <c r="BA44" i="2"/>
  <c r="BA35" i="2"/>
  <c r="BA45" i="2"/>
  <c r="BA36" i="2"/>
  <c r="BA46" i="2"/>
  <c r="BA37" i="2"/>
  <c r="BA47" i="2"/>
  <c r="BA38" i="2"/>
  <c r="BA48" i="2"/>
  <c r="BA39" i="2"/>
  <c r="BA49" i="2"/>
  <c r="BA40" i="2"/>
  <c r="BA50" i="2"/>
  <c r="BA41" i="2"/>
  <c r="BA51" i="2"/>
  <c r="BA42" i="2"/>
  <c r="BA52" i="2"/>
  <c r="BA43" i="2"/>
  <c r="BA53" i="2"/>
  <c r="BA54" i="2"/>
  <c r="BB31" i="2"/>
  <c r="BB32" i="2"/>
  <c r="BB33" i="2"/>
  <c r="BB44" i="2"/>
  <c r="BB35" i="2"/>
  <c r="BB45" i="2"/>
  <c r="BB36" i="2"/>
  <c r="BB46" i="2"/>
  <c r="BB37" i="2"/>
  <c r="BB47" i="2"/>
  <c r="BB38" i="2"/>
  <c r="BB48" i="2"/>
  <c r="BB39" i="2"/>
  <c r="BB49" i="2"/>
  <c r="BB40" i="2"/>
  <c r="BB50" i="2"/>
  <c r="BB41" i="2"/>
  <c r="BB51" i="2"/>
  <c r="BB42" i="2"/>
  <c r="BB52" i="2"/>
  <c r="BB43" i="2"/>
  <c r="BB53" i="2"/>
  <c r="BB54" i="2"/>
  <c r="BC31" i="2"/>
  <c r="BC32" i="2"/>
  <c r="BC33" i="2"/>
  <c r="BC44" i="2"/>
  <c r="BC35" i="2"/>
  <c r="BC45" i="2"/>
  <c r="BC36" i="2"/>
  <c r="BC46" i="2"/>
  <c r="BC37" i="2"/>
  <c r="BC47" i="2"/>
  <c r="BC38" i="2"/>
  <c r="BC48" i="2"/>
  <c r="BC39" i="2"/>
  <c r="BC49" i="2"/>
  <c r="BC40" i="2"/>
  <c r="BC50" i="2"/>
  <c r="BC41" i="2"/>
  <c r="BC51" i="2"/>
  <c r="BC42" i="2"/>
  <c r="BC52" i="2"/>
  <c r="BC43" i="2"/>
  <c r="BC53" i="2"/>
  <c r="BC54" i="2"/>
  <c r="BD31" i="2"/>
  <c r="BD32" i="2"/>
  <c r="BD33" i="2"/>
  <c r="BD44" i="2"/>
  <c r="BD35" i="2"/>
  <c r="BD45" i="2"/>
  <c r="BD36" i="2"/>
  <c r="BD46" i="2"/>
  <c r="BD37" i="2"/>
  <c r="BD47" i="2"/>
  <c r="BD38" i="2"/>
  <c r="BD48" i="2"/>
  <c r="BD39" i="2"/>
  <c r="BD49" i="2"/>
  <c r="BD40" i="2"/>
  <c r="BD50" i="2"/>
  <c r="BD41" i="2"/>
  <c r="BD51" i="2"/>
  <c r="BD42" i="2"/>
  <c r="BD52" i="2"/>
  <c r="BD43" i="2"/>
  <c r="BD53" i="2"/>
  <c r="BD54" i="2"/>
  <c r="BE31" i="2"/>
  <c r="BE32" i="2"/>
  <c r="BE33" i="2"/>
  <c r="BE44" i="2"/>
  <c r="BE35" i="2"/>
  <c r="BE45" i="2"/>
  <c r="BE36" i="2"/>
  <c r="BE46" i="2"/>
  <c r="BE37" i="2"/>
  <c r="BE47" i="2"/>
  <c r="BE38" i="2"/>
  <c r="BE48" i="2"/>
  <c r="BE39" i="2"/>
  <c r="BE49" i="2"/>
  <c r="BE40" i="2"/>
  <c r="BE50" i="2"/>
  <c r="BE41" i="2"/>
  <c r="BE51" i="2"/>
  <c r="BE42" i="2"/>
  <c r="BE52" i="2"/>
  <c r="BE43" i="2"/>
  <c r="BE53" i="2"/>
  <c r="BE54" i="2"/>
  <c r="BF31" i="2"/>
  <c r="BF32" i="2"/>
  <c r="BF33" i="2"/>
  <c r="BF44" i="2"/>
  <c r="BF35" i="2"/>
  <c r="BF45" i="2"/>
  <c r="BF36" i="2"/>
  <c r="BF46" i="2"/>
  <c r="BF37" i="2"/>
  <c r="BF47" i="2"/>
  <c r="BF38" i="2"/>
  <c r="BF48" i="2"/>
  <c r="BF39" i="2"/>
  <c r="BF49" i="2"/>
  <c r="BF40" i="2"/>
  <c r="BF50" i="2"/>
  <c r="BF41" i="2"/>
  <c r="BF51" i="2"/>
  <c r="BF42" i="2"/>
  <c r="BF52" i="2"/>
  <c r="BF43" i="2"/>
  <c r="BF53" i="2"/>
  <c r="BF54" i="2"/>
  <c r="BG31" i="2"/>
  <c r="BG32" i="2"/>
  <c r="BG33" i="2"/>
  <c r="BG44" i="2"/>
  <c r="BG35" i="2"/>
  <c r="BG45" i="2"/>
  <c r="BG36" i="2"/>
  <c r="BG46" i="2"/>
  <c r="BG37" i="2"/>
  <c r="BG47" i="2"/>
  <c r="BG38" i="2"/>
  <c r="BG48" i="2"/>
  <c r="BG39" i="2"/>
  <c r="BG49" i="2"/>
  <c r="BG40" i="2"/>
  <c r="BG50" i="2"/>
  <c r="BG41" i="2"/>
  <c r="BG51" i="2"/>
  <c r="BG42" i="2"/>
  <c r="BG52" i="2"/>
  <c r="BG43" i="2"/>
  <c r="BG53" i="2"/>
  <c r="BG54" i="2"/>
  <c r="BH31" i="2"/>
  <c r="BH32" i="2"/>
  <c r="BH33" i="2"/>
  <c r="BH44" i="2"/>
  <c r="BH35" i="2"/>
  <c r="BH45" i="2"/>
  <c r="BH36" i="2"/>
  <c r="BH46" i="2"/>
  <c r="BH37" i="2"/>
  <c r="BH47" i="2"/>
  <c r="BH38" i="2"/>
  <c r="BH48" i="2"/>
  <c r="BH39" i="2"/>
  <c r="BH49" i="2"/>
  <c r="BH40" i="2"/>
  <c r="BH50" i="2"/>
  <c r="BH41" i="2"/>
  <c r="BH51" i="2"/>
  <c r="BH42" i="2"/>
  <c r="BH52" i="2"/>
  <c r="BH43" i="2"/>
  <c r="BH53" i="2"/>
  <c r="BH54" i="2"/>
  <c r="BI31" i="2"/>
  <c r="BI32" i="2"/>
  <c r="BI33" i="2"/>
  <c r="BI44" i="2"/>
  <c r="BI35" i="2"/>
  <c r="BI45" i="2"/>
  <c r="BI36" i="2"/>
  <c r="BI46" i="2"/>
  <c r="BI37" i="2"/>
  <c r="BI47" i="2"/>
  <c r="BI38" i="2"/>
  <c r="BI48" i="2"/>
  <c r="BI39" i="2"/>
  <c r="BI49" i="2"/>
  <c r="BI40" i="2"/>
  <c r="BI50" i="2"/>
  <c r="BI41" i="2"/>
  <c r="BI51" i="2"/>
  <c r="BI42" i="2"/>
  <c r="BI52" i="2"/>
  <c r="BI43" i="2"/>
  <c r="BI53" i="2"/>
  <c r="BI54" i="2"/>
  <c r="BJ31" i="2"/>
  <c r="BJ32" i="2"/>
  <c r="BJ33" i="2"/>
  <c r="BJ44" i="2"/>
  <c r="BJ35" i="2"/>
  <c r="BJ45" i="2"/>
  <c r="BJ36" i="2"/>
  <c r="BJ46" i="2"/>
  <c r="BJ37" i="2"/>
  <c r="BJ47" i="2"/>
  <c r="BJ38" i="2"/>
  <c r="BJ48" i="2"/>
  <c r="BJ39" i="2"/>
  <c r="BJ49" i="2"/>
  <c r="BJ40" i="2"/>
  <c r="BJ50" i="2"/>
  <c r="BJ41" i="2"/>
  <c r="BJ51" i="2"/>
  <c r="BJ42" i="2"/>
  <c r="BJ52" i="2"/>
  <c r="BJ43" i="2"/>
  <c r="BJ53" i="2"/>
  <c r="BJ54" i="2"/>
  <c r="BK31" i="2"/>
  <c r="BK32" i="2"/>
  <c r="BK33" i="2"/>
  <c r="BK44" i="2"/>
  <c r="BK35" i="2"/>
  <c r="BK45" i="2"/>
  <c r="BK36" i="2"/>
  <c r="BK46" i="2"/>
  <c r="BK37" i="2"/>
  <c r="BK47" i="2"/>
  <c r="BK38" i="2"/>
  <c r="BK48" i="2"/>
  <c r="BK39" i="2"/>
  <c r="BK49" i="2"/>
  <c r="BK40" i="2"/>
  <c r="BK50" i="2"/>
  <c r="BK41" i="2"/>
  <c r="BK51" i="2"/>
  <c r="BK42" i="2"/>
  <c r="BK52" i="2"/>
  <c r="BK43" i="2"/>
  <c r="BK53" i="2"/>
  <c r="BK54" i="2"/>
  <c r="BL31" i="2"/>
  <c r="BL32" i="2"/>
  <c r="BL33" i="2"/>
  <c r="BL44" i="2"/>
  <c r="BL35" i="2"/>
  <c r="BL45" i="2"/>
  <c r="BL36" i="2"/>
  <c r="BL46" i="2"/>
  <c r="BL37" i="2"/>
  <c r="BL47" i="2"/>
  <c r="BL38" i="2"/>
  <c r="BL48" i="2"/>
  <c r="BL39" i="2"/>
  <c r="BL49" i="2"/>
  <c r="BL40" i="2"/>
  <c r="BL50" i="2"/>
  <c r="BL41" i="2"/>
  <c r="BL51" i="2"/>
  <c r="BL42" i="2"/>
  <c r="BL52" i="2"/>
  <c r="BL43" i="2"/>
  <c r="BL53" i="2"/>
  <c r="BL54" i="2"/>
  <c r="BM31" i="2"/>
  <c r="BM32" i="2"/>
  <c r="BM33" i="2"/>
  <c r="BM44" i="2"/>
  <c r="BM35" i="2"/>
  <c r="BM45" i="2"/>
  <c r="BM36" i="2"/>
  <c r="BM46" i="2"/>
  <c r="BM37" i="2"/>
  <c r="BM47" i="2"/>
  <c r="BM38" i="2"/>
  <c r="BM48" i="2"/>
  <c r="BM39" i="2"/>
  <c r="BM49" i="2"/>
  <c r="BM40" i="2"/>
  <c r="BM50" i="2"/>
  <c r="BM41" i="2"/>
  <c r="BM51" i="2"/>
  <c r="BM42" i="2"/>
  <c r="BM52" i="2"/>
  <c r="BM43" i="2"/>
  <c r="BM53" i="2"/>
  <c r="BM54" i="2"/>
  <c r="BN31" i="2"/>
  <c r="BN32" i="2"/>
  <c r="BN33" i="2"/>
  <c r="BN44" i="2"/>
  <c r="BN35" i="2"/>
  <c r="BN45" i="2"/>
  <c r="BN36" i="2"/>
  <c r="BN46" i="2"/>
  <c r="BN37" i="2"/>
  <c r="BN47" i="2"/>
  <c r="BN38" i="2"/>
  <c r="BN48" i="2"/>
  <c r="BN39" i="2"/>
  <c r="BN49" i="2"/>
  <c r="BN40" i="2"/>
  <c r="BN50" i="2"/>
  <c r="BN41" i="2"/>
  <c r="BN51" i="2"/>
  <c r="BN42" i="2"/>
  <c r="BN52" i="2"/>
  <c r="BN43" i="2"/>
  <c r="BN53" i="2"/>
  <c r="BN54" i="2"/>
  <c r="BO31" i="2"/>
  <c r="BO32" i="2"/>
  <c r="BO33" i="2"/>
  <c r="BO44" i="2"/>
  <c r="BO35" i="2"/>
  <c r="BO45" i="2"/>
  <c r="BO36" i="2"/>
  <c r="BO46" i="2"/>
  <c r="BO37" i="2"/>
  <c r="BO47" i="2"/>
  <c r="BO38" i="2"/>
  <c r="BO48" i="2"/>
  <c r="BO39" i="2"/>
  <c r="BO49" i="2"/>
  <c r="BO40" i="2"/>
  <c r="BO50" i="2"/>
  <c r="BO41" i="2"/>
  <c r="BO51" i="2"/>
  <c r="BO42" i="2"/>
  <c r="BO52" i="2"/>
  <c r="BO43" i="2"/>
  <c r="BO53" i="2"/>
  <c r="BO54" i="2"/>
  <c r="BP31" i="2"/>
  <c r="BP32" i="2"/>
  <c r="BP33" i="2"/>
  <c r="BP44" i="2"/>
  <c r="BP35" i="2"/>
  <c r="BP45" i="2"/>
  <c r="BP36" i="2"/>
  <c r="BP46" i="2"/>
  <c r="BP37" i="2"/>
  <c r="BP47" i="2"/>
  <c r="BP38" i="2"/>
  <c r="BP48" i="2"/>
  <c r="BP39" i="2"/>
  <c r="BP49" i="2"/>
  <c r="BP40" i="2"/>
  <c r="BP50" i="2"/>
  <c r="BP41" i="2"/>
  <c r="BP51" i="2"/>
  <c r="BP42" i="2"/>
  <c r="BP52" i="2"/>
  <c r="BP43" i="2"/>
  <c r="BP53" i="2"/>
  <c r="BP54" i="2"/>
  <c r="BQ31" i="2"/>
  <c r="BQ32" i="2"/>
  <c r="BQ33" i="2"/>
  <c r="BQ44" i="2"/>
  <c r="BQ35" i="2"/>
  <c r="BQ45" i="2"/>
  <c r="BQ36" i="2"/>
  <c r="BQ46" i="2"/>
  <c r="BQ37" i="2"/>
  <c r="BQ47" i="2"/>
  <c r="BQ38" i="2"/>
  <c r="BQ48" i="2"/>
  <c r="BQ39" i="2"/>
  <c r="BQ49" i="2"/>
  <c r="BQ40" i="2"/>
  <c r="BQ50" i="2"/>
  <c r="BQ41" i="2"/>
  <c r="BQ51" i="2"/>
  <c r="BQ42" i="2"/>
  <c r="BQ52" i="2"/>
  <c r="BQ43" i="2"/>
  <c r="BQ53" i="2"/>
  <c r="BQ54" i="2"/>
  <c r="BR31" i="2"/>
  <c r="BR32" i="2"/>
  <c r="BR33" i="2"/>
  <c r="BR44" i="2"/>
  <c r="BR35" i="2"/>
  <c r="BR45" i="2"/>
  <c r="BR36" i="2"/>
  <c r="BR46" i="2"/>
  <c r="BR37" i="2"/>
  <c r="BR47" i="2"/>
  <c r="BR38" i="2"/>
  <c r="BR48" i="2"/>
  <c r="BR39" i="2"/>
  <c r="BR49" i="2"/>
  <c r="BR40" i="2"/>
  <c r="BR50" i="2"/>
  <c r="BR41" i="2"/>
  <c r="BR51" i="2"/>
  <c r="BR42" i="2"/>
  <c r="BR52" i="2"/>
  <c r="BR43" i="2"/>
  <c r="BR53" i="2"/>
  <c r="BR54" i="2"/>
  <c r="BS31" i="2"/>
  <c r="BS32" i="2"/>
  <c r="BS33" i="2"/>
  <c r="BS44" i="2"/>
  <c r="BS35" i="2"/>
  <c r="BS45" i="2"/>
  <c r="BS36" i="2"/>
  <c r="BS46" i="2"/>
  <c r="BS37" i="2"/>
  <c r="BS47" i="2"/>
  <c r="BS38" i="2"/>
  <c r="BS48" i="2"/>
  <c r="BS39" i="2"/>
  <c r="BS49" i="2"/>
  <c r="BS40" i="2"/>
  <c r="BS50" i="2"/>
  <c r="BS41" i="2"/>
  <c r="BS51" i="2"/>
  <c r="BS42" i="2"/>
  <c r="BS52" i="2"/>
  <c r="BS43" i="2"/>
  <c r="BS53" i="2"/>
  <c r="BS54" i="2"/>
  <c r="BT31" i="2"/>
  <c r="BT32" i="2"/>
  <c r="BT33" i="2"/>
  <c r="BT44" i="2"/>
  <c r="BT35" i="2"/>
  <c r="BT45" i="2"/>
  <c r="BT36" i="2"/>
  <c r="BT46" i="2"/>
  <c r="BT37" i="2"/>
  <c r="BT47" i="2"/>
  <c r="BT38" i="2"/>
  <c r="BT48" i="2"/>
  <c r="BT39" i="2"/>
  <c r="BT49" i="2"/>
  <c r="BT40" i="2"/>
  <c r="BT50" i="2"/>
  <c r="BT41" i="2"/>
  <c r="BT51" i="2"/>
  <c r="BT42" i="2"/>
  <c r="BT52" i="2"/>
  <c r="BT43" i="2"/>
  <c r="BT53" i="2"/>
  <c r="BT54" i="2"/>
  <c r="BU31" i="2"/>
  <c r="BU32" i="2"/>
  <c r="BU33" i="2"/>
  <c r="BU44" i="2"/>
  <c r="BU35" i="2"/>
  <c r="BU45" i="2"/>
  <c r="BU36" i="2"/>
  <c r="BU46" i="2"/>
  <c r="BU37" i="2"/>
  <c r="BU47" i="2"/>
  <c r="BU38" i="2"/>
  <c r="BU48" i="2"/>
  <c r="BU39" i="2"/>
  <c r="BU49" i="2"/>
  <c r="BU40" i="2"/>
  <c r="BU50" i="2"/>
  <c r="BU41" i="2"/>
  <c r="BU51" i="2"/>
  <c r="BU42" i="2"/>
  <c r="BU52" i="2"/>
  <c r="BU43" i="2"/>
  <c r="BU53" i="2"/>
  <c r="BU54" i="2"/>
  <c r="BV31" i="2"/>
  <c r="BV32" i="2"/>
  <c r="BV33" i="2"/>
  <c r="BV44" i="2"/>
  <c r="BV35" i="2"/>
  <c r="BV45" i="2"/>
  <c r="BV36" i="2"/>
  <c r="BV46" i="2"/>
  <c r="BV37" i="2"/>
  <c r="BV47" i="2"/>
  <c r="BV38" i="2"/>
  <c r="BV48" i="2"/>
  <c r="BV39" i="2"/>
  <c r="BV49" i="2"/>
  <c r="BV40" i="2"/>
  <c r="BV50" i="2"/>
  <c r="BV41" i="2"/>
  <c r="BV51" i="2"/>
  <c r="BV42" i="2"/>
  <c r="BV52" i="2"/>
  <c r="BV43" i="2"/>
  <c r="BV53" i="2"/>
  <c r="BV54" i="2"/>
  <c r="BW31" i="2"/>
  <c r="BW32" i="2"/>
  <c r="BW33" i="2"/>
  <c r="BW44" i="2"/>
  <c r="BW35" i="2"/>
  <c r="BW45" i="2"/>
  <c r="BW36" i="2"/>
  <c r="BW46" i="2"/>
  <c r="BW37" i="2"/>
  <c r="BW47" i="2"/>
  <c r="BW38" i="2"/>
  <c r="BW48" i="2"/>
  <c r="BW39" i="2"/>
  <c r="BW49" i="2"/>
  <c r="BW40" i="2"/>
  <c r="BW50" i="2"/>
  <c r="BW41" i="2"/>
  <c r="BW51" i="2"/>
  <c r="BW42" i="2"/>
  <c r="BW52" i="2"/>
  <c r="BW43" i="2"/>
  <c r="BW53" i="2"/>
  <c r="BW54" i="2"/>
  <c r="BX31" i="2"/>
  <c r="BX32" i="2"/>
  <c r="BX33" i="2"/>
  <c r="BX44" i="2"/>
  <c r="BX35" i="2"/>
  <c r="BX45" i="2"/>
  <c r="BX36" i="2"/>
  <c r="BX46" i="2"/>
  <c r="BX37" i="2"/>
  <c r="BX47" i="2"/>
  <c r="BX38" i="2"/>
  <c r="BX48" i="2"/>
  <c r="BX39" i="2"/>
  <c r="BX49" i="2"/>
  <c r="BX40" i="2"/>
  <c r="BX50" i="2"/>
  <c r="BX41" i="2"/>
  <c r="BX51" i="2"/>
  <c r="BX42" i="2"/>
  <c r="BX52" i="2"/>
  <c r="BX43" i="2"/>
  <c r="BX53" i="2"/>
  <c r="BX54" i="2"/>
  <c r="BY31" i="2"/>
  <c r="BY32" i="2"/>
  <c r="BY33" i="2"/>
  <c r="BY44" i="2"/>
  <c r="BY35" i="2"/>
  <c r="BY45" i="2"/>
  <c r="BY36" i="2"/>
  <c r="BY46" i="2"/>
  <c r="BY37" i="2"/>
  <c r="BY47" i="2"/>
  <c r="BY38" i="2"/>
  <c r="BY48" i="2"/>
  <c r="BY39" i="2"/>
  <c r="BY49" i="2"/>
  <c r="BY40" i="2"/>
  <c r="BY50" i="2"/>
  <c r="BY41" i="2"/>
  <c r="BY51" i="2"/>
  <c r="BY42" i="2"/>
  <c r="BY52" i="2"/>
  <c r="BY43" i="2"/>
  <c r="BY53" i="2"/>
  <c r="BY54" i="2"/>
  <c r="BZ31" i="2"/>
  <c r="BZ32" i="2"/>
  <c r="BZ33" i="2"/>
  <c r="BZ44" i="2"/>
  <c r="BZ35" i="2"/>
  <c r="BZ45" i="2"/>
  <c r="BZ36" i="2"/>
  <c r="BZ46" i="2"/>
  <c r="BZ37" i="2"/>
  <c r="BZ47" i="2"/>
  <c r="BZ38" i="2"/>
  <c r="BZ48" i="2"/>
  <c r="BZ39" i="2"/>
  <c r="BZ49" i="2"/>
  <c r="BZ40" i="2"/>
  <c r="BZ50" i="2"/>
  <c r="BZ41" i="2"/>
  <c r="BZ51" i="2"/>
  <c r="BZ42" i="2"/>
  <c r="BZ52" i="2"/>
  <c r="BZ43" i="2"/>
  <c r="BZ53" i="2"/>
  <c r="BZ54" i="2"/>
  <c r="CA31" i="2"/>
  <c r="CA32" i="2"/>
  <c r="CA33" i="2"/>
  <c r="CA44" i="2"/>
  <c r="CA35" i="2"/>
  <c r="CA45" i="2"/>
  <c r="CA36" i="2"/>
  <c r="CA46" i="2"/>
  <c r="CA37" i="2"/>
  <c r="CA47" i="2"/>
  <c r="CA38" i="2"/>
  <c r="CA48" i="2"/>
  <c r="CA39" i="2"/>
  <c r="CA49" i="2"/>
  <c r="CA40" i="2"/>
  <c r="CA50" i="2"/>
  <c r="CA41" i="2"/>
  <c r="CA51" i="2"/>
  <c r="CA42" i="2"/>
  <c r="CA52" i="2"/>
  <c r="CA43" i="2"/>
  <c r="CA53" i="2"/>
  <c r="CA54" i="2"/>
  <c r="CB31" i="2"/>
  <c r="CB32" i="2"/>
  <c r="CB33" i="2"/>
  <c r="CB44" i="2"/>
  <c r="CB35" i="2"/>
  <c r="CB45" i="2"/>
  <c r="CB36" i="2"/>
  <c r="CB46" i="2"/>
  <c r="CB37" i="2"/>
  <c r="CB47" i="2"/>
  <c r="CB38" i="2"/>
  <c r="CB48" i="2"/>
  <c r="CB39" i="2"/>
  <c r="CB49" i="2"/>
  <c r="CB40" i="2"/>
  <c r="CB50" i="2"/>
  <c r="CB41" i="2"/>
  <c r="CB51" i="2"/>
  <c r="CB42" i="2"/>
  <c r="CB52" i="2"/>
  <c r="CB43" i="2"/>
  <c r="CB53" i="2"/>
  <c r="CB54" i="2"/>
  <c r="CC31" i="2"/>
  <c r="CC32" i="2"/>
  <c r="CC33" i="2"/>
  <c r="CC44" i="2"/>
  <c r="CC35" i="2"/>
  <c r="CC45" i="2"/>
  <c r="CC36" i="2"/>
  <c r="CC46" i="2"/>
  <c r="CC37" i="2"/>
  <c r="CC47" i="2"/>
  <c r="CC38" i="2"/>
  <c r="CC48" i="2"/>
  <c r="CC39" i="2"/>
  <c r="CC49" i="2"/>
  <c r="CC40" i="2"/>
  <c r="CC50" i="2"/>
  <c r="CC41" i="2"/>
  <c r="CC51" i="2"/>
  <c r="CC42" i="2"/>
  <c r="CC52" i="2"/>
  <c r="CC43" i="2"/>
  <c r="CC53" i="2"/>
  <c r="CC54" i="2"/>
  <c r="CD31" i="2"/>
  <c r="CD32" i="2"/>
  <c r="CD33" i="2"/>
  <c r="CD44" i="2"/>
  <c r="CD35" i="2"/>
  <c r="CD45" i="2"/>
  <c r="CD36" i="2"/>
  <c r="CD46" i="2"/>
  <c r="CD37" i="2"/>
  <c r="CD47" i="2"/>
  <c r="CD38" i="2"/>
  <c r="CD48" i="2"/>
  <c r="CD39" i="2"/>
  <c r="CD49" i="2"/>
  <c r="CD40" i="2"/>
  <c r="CD50" i="2"/>
  <c r="CD41" i="2"/>
  <c r="CD51" i="2"/>
  <c r="CD42" i="2"/>
  <c r="CD52" i="2"/>
  <c r="CD43" i="2"/>
  <c r="CD53" i="2"/>
  <c r="CD54" i="2"/>
  <c r="CE31" i="2"/>
  <c r="CE32" i="2"/>
  <c r="CE33" i="2"/>
  <c r="CE44" i="2"/>
  <c r="CE35" i="2"/>
  <c r="CE45" i="2"/>
  <c r="CE36" i="2"/>
  <c r="CE46" i="2"/>
  <c r="CE37" i="2"/>
  <c r="CE47" i="2"/>
  <c r="CE38" i="2"/>
  <c r="CE48" i="2"/>
  <c r="CE39" i="2"/>
  <c r="CE49" i="2"/>
  <c r="CE40" i="2"/>
  <c r="CE50" i="2"/>
  <c r="CE41" i="2"/>
  <c r="CE51" i="2"/>
  <c r="CE42" i="2"/>
  <c r="CE52" i="2"/>
  <c r="CE43" i="2"/>
  <c r="CE53" i="2"/>
  <c r="CE54" i="2"/>
  <c r="CF31" i="2"/>
  <c r="CF32" i="2"/>
  <c r="CF33" i="2"/>
  <c r="AK8" i="1"/>
  <c r="AH10" i="1"/>
  <c r="AL10" i="1"/>
  <c r="I26" i="1"/>
  <c r="AH11" i="1"/>
  <c r="AL11" i="1"/>
  <c r="I27" i="1"/>
  <c r="AH12" i="1"/>
  <c r="AL12" i="1"/>
  <c r="I28" i="1"/>
  <c r="AH13" i="1"/>
  <c r="AL13" i="1"/>
  <c r="I29" i="1"/>
  <c r="AH14" i="1"/>
  <c r="AL14" i="1"/>
  <c r="I30" i="1"/>
  <c r="AH15" i="1"/>
  <c r="AL15" i="1"/>
  <c r="I31" i="1"/>
  <c r="AH16" i="1"/>
  <c r="AL16" i="1"/>
  <c r="I32" i="1"/>
  <c r="AH17" i="1"/>
  <c r="AL17" i="1"/>
  <c r="I33" i="1"/>
  <c r="AH18" i="1"/>
  <c r="AL18" i="1"/>
  <c r="I34" i="1"/>
  <c r="AH19" i="1"/>
  <c r="AL19" i="1"/>
  <c r="I35" i="1"/>
  <c r="I36" i="1"/>
  <c r="J36" i="1"/>
  <c r="K26" i="1"/>
  <c r="K27" i="1"/>
  <c r="K28" i="1"/>
  <c r="K29" i="1"/>
  <c r="K30" i="1"/>
  <c r="K31" i="1"/>
  <c r="K32" i="1"/>
  <c r="K33" i="1"/>
  <c r="K34" i="1"/>
  <c r="K35" i="1"/>
  <c r="K36" i="1"/>
  <c r="L22" i="1"/>
  <c r="Q22" i="1"/>
  <c r="CF34" i="2"/>
  <c r="CF44" i="2"/>
  <c r="AN10" i="1"/>
  <c r="C140" i="1"/>
  <c r="D73" i="1"/>
  <c r="D63" i="1"/>
  <c r="D120" i="1"/>
  <c r="D119" i="1"/>
  <c r="D130" i="1"/>
  <c r="D83" i="1"/>
  <c r="D140" i="1"/>
  <c r="CF35" i="2"/>
  <c r="CF45" i="2"/>
  <c r="AN11" i="1"/>
  <c r="C141" i="1"/>
  <c r="D74" i="1"/>
  <c r="D64" i="1"/>
  <c r="D121" i="1"/>
  <c r="D131" i="1"/>
  <c r="D84" i="1"/>
  <c r="D141" i="1"/>
  <c r="CF36" i="2"/>
  <c r="CF46" i="2"/>
  <c r="AN12" i="1"/>
  <c r="C142" i="1"/>
  <c r="D75" i="1"/>
  <c r="D65" i="1"/>
  <c r="D122" i="1"/>
  <c r="D132" i="1"/>
  <c r="D85" i="1"/>
  <c r="D142" i="1"/>
  <c r="CF37" i="2"/>
  <c r="CF47" i="2"/>
  <c r="AN13" i="1"/>
  <c r="C143" i="1"/>
  <c r="D76" i="1"/>
  <c r="D66" i="1"/>
  <c r="D123" i="1"/>
  <c r="D133" i="1"/>
  <c r="D86" i="1"/>
  <c r="D143" i="1"/>
  <c r="CF38" i="2"/>
  <c r="CF48" i="2"/>
  <c r="AN14" i="1"/>
  <c r="C144" i="1"/>
  <c r="D77" i="1"/>
  <c r="D67" i="1"/>
  <c r="D124" i="1"/>
  <c r="D134" i="1"/>
  <c r="D87" i="1"/>
  <c r="D144" i="1"/>
  <c r="CF39" i="2"/>
  <c r="CF49" i="2"/>
  <c r="AN15" i="1"/>
  <c r="C145" i="1"/>
  <c r="D78" i="1"/>
  <c r="D68" i="1"/>
  <c r="D125" i="1"/>
  <c r="D135" i="1"/>
  <c r="D88" i="1"/>
  <c r="D145" i="1"/>
  <c r="CF40" i="2"/>
  <c r="CF50" i="2"/>
  <c r="AN16" i="1"/>
  <c r="C146" i="1"/>
  <c r="D79" i="1"/>
  <c r="D69" i="1"/>
  <c r="D126" i="1"/>
  <c r="D136" i="1"/>
  <c r="D89" i="1"/>
  <c r="D146" i="1"/>
  <c r="CF41" i="2"/>
  <c r="CF51" i="2"/>
  <c r="AN17" i="1"/>
  <c r="C147" i="1"/>
  <c r="D80" i="1"/>
  <c r="D70" i="1"/>
  <c r="D127" i="1"/>
  <c r="D137" i="1"/>
  <c r="D90" i="1"/>
  <c r="D147" i="1"/>
  <c r="CF42" i="2"/>
  <c r="CF52" i="2"/>
  <c r="AN18" i="1"/>
  <c r="C148" i="1"/>
  <c r="D81" i="1"/>
  <c r="D71" i="1"/>
  <c r="D128" i="1"/>
  <c r="D138" i="1"/>
  <c r="D91" i="1"/>
  <c r="D148" i="1"/>
  <c r="CF43" i="2"/>
  <c r="CF53" i="2"/>
  <c r="AN19" i="1"/>
  <c r="C149" i="1"/>
  <c r="D82" i="1"/>
  <c r="D72" i="1"/>
  <c r="D129" i="1"/>
  <c r="D139" i="1"/>
  <c r="D92" i="1"/>
  <c r="D149" i="1"/>
  <c r="D197" i="1"/>
  <c r="D198" i="1"/>
  <c r="D199" i="1"/>
  <c r="D200" i="1"/>
  <c r="D201" i="1"/>
  <c r="D202" i="1"/>
  <c r="D203" i="1"/>
  <c r="D204" i="1"/>
  <c r="D205" i="1"/>
  <c r="D206" i="1"/>
  <c r="Y26" i="1"/>
  <c r="A153" i="1"/>
  <c r="U26" i="1"/>
  <c r="A39" i="1"/>
  <c r="T26" i="1"/>
  <c r="W26" i="1"/>
  <c r="Z26" i="1"/>
  <c r="AA26" i="1"/>
  <c r="AD26" i="1"/>
  <c r="Y27" i="1"/>
  <c r="U27" i="1"/>
  <c r="T27" i="1"/>
  <c r="W27" i="1"/>
  <c r="Z27" i="1"/>
  <c r="AA27" i="1"/>
  <c r="AD27" i="1"/>
  <c r="Y28" i="1"/>
  <c r="U28" i="1"/>
  <c r="T28" i="1"/>
  <c r="W28" i="1"/>
  <c r="Z28" i="1"/>
  <c r="AA28" i="1"/>
  <c r="AD28" i="1"/>
  <c r="Y29" i="1"/>
  <c r="U29" i="1"/>
  <c r="T29" i="1"/>
  <c r="W29" i="1"/>
  <c r="Z29" i="1"/>
  <c r="AD29" i="1"/>
  <c r="Y30" i="1"/>
  <c r="U30" i="1"/>
  <c r="T30" i="1"/>
  <c r="W30" i="1"/>
  <c r="Z30" i="1"/>
  <c r="AD30" i="1"/>
  <c r="AB26" i="1"/>
  <c r="N6" i="1"/>
  <c r="M6" i="1"/>
  <c r="AI59" i="2"/>
  <c r="AI60" i="2"/>
  <c r="C4" i="2"/>
  <c r="C5" i="2"/>
  <c r="C6" i="2"/>
  <c r="J8" i="2"/>
  <c r="D4" i="2"/>
  <c r="D5" i="2"/>
  <c r="D6" i="2"/>
  <c r="D7" i="2"/>
  <c r="J9" i="2"/>
  <c r="AI4" i="2"/>
  <c r="AI5" i="2"/>
  <c r="AI6" i="2"/>
  <c r="AI87" i="2"/>
  <c r="AI88" i="2"/>
  <c r="AI89" i="2"/>
  <c r="AI90" i="2"/>
  <c r="AI100" i="2"/>
  <c r="AI91" i="2"/>
  <c r="AI101" i="2"/>
  <c r="AI92" i="2"/>
  <c r="AI102" i="2"/>
  <c r="AI93" i="2"/>
  <c r="AI103" i="2"/>
  <c r="AI94" i="2"/>
  <c r="AI104" i="2"/>
  <c r="AI95" i="2"/>
  <c r="AI105" i="2"/>
  <c r="AI96" i="2"/>
  <c r="AI106" i="2"/>
  <c r="AI97" i="2"/>
  <c r="AI107" i="2"/>
  <c r="AI98" i="2"/>
  <c r="AI108" i="2"/>
  <c r="AI99" i="2"/>
  <c r="AI109" i="2"/>
  <c r="AI110" i="2"/>
  <c r="AJ87" i="2"/>
  <c r="AJ88" i="2"/>
  <c r="AJ89" i="2"/>
  <c r="AJ90" i="2"/>
  <c r="AJ100" i="2"/>
  <c r="AJ91" i="2"/>
  <c r="AJ101" i="2"/>
  <c r="AJ92" i="2"/>
  <c r="AJ102" i="2"/>
  <c r="AJ93" i="2"/>
  <c r="AJ103" i="2"/>
  <c r="AJ94" i="2"/>
  <c r="AJ104" i="2"/>
  <c r="AJ95" i="2"/>
  <c r="AJ105" i="2"/>
  <c r="AJ96" i="2"/>
  <c r="AJ106" i="2"/>
  <c r="AJ97" i="2"/>
  <c r="AJ107" i="2"/>
  <c r="AJ98" i="2"/>
  <c r="AJ108" i="2"/>
  <c r="AJ99" i="2"/>
  <c r="AJ109" i="2"/>
  <c r="AJ110" i="2"/>
  <c r="AK87" i="2"/>
  <c r="AK88" i="2"/>
  <c r="AK89" i="2"/>
  <c r="AK90" i="2"/>
  <c r="AK100" i="2"/>
  <c r="AK91" i="2"/>
  <c r="AK101" i="2"/>
  <c r="AK92" i="2"/>
  <c r="AK102" i="2"/>
  <c r="AK93" i="2"/>
  <c r="AK103" i="2"/>
  <c r="AK94" i="2"/>
  <c r="AK104" i="2"/>
  <c r="AK95" i="2"/>
  <c r="AK105" i="2"/>
  <c r="AK96" i="2"/>
  <c r="AK106" i="2"/>
  <c r="AK97" i="2"/>
  <c r="AK107" i="2"/>
  <c r="AK98" i="2"/>
  <c r="AK108" i="2"/>
  <c r="AK99" i="2"/>
  <c r="AK109" i="2"/>
  <c r="AK110" i="2"/>
  <c r="AL87" i="2"/>
  <c r="AL88" i="2"/>
  <c r="AL89" i="2"/>
  <c r="AL90" i="2"/>
  <c r="AL100" i="2"/>
  <c r="AL91" i="2"/>
  <c r="AL101" i="2"/>
  <c r="AL92" i="2"/>
  <c r="AL102" i="2"/>
  <c r="AL93" i="2"/>
  <c r="AL103" i="2"/>
  <c r="AL94" i="2"/>
  <c r="AL104" i="2"/>
  <c r="AL95" i="2"/>
  <c r="AL105" i="2"/>
  <c r="AL96" i="2"/>
  <c r="AL106" i="2"/>
  <c r="AL97" i="2"/>
  <c r="AL107" i="2"/>
  <c r="AL98" i="2"/>
  <c r="AL108" i="2"/>
  <c r="AL99" i="2"/>
  <c r="AL109" i="2"/>
  <c r="AL110" i="2"/>
  <c r="AM87" i="2"/>
  <c r="AM88" i="2"/>
  <c r="AM89" i="2"/>
  <c r="AM90" i="2"/>
  <c r="AM100" i="2"/>
  <c r="AM91" i="2"/>
  <c r="AM101" i="2"/>
  <c r="AM92" i="2"/>
  <c r="AM102" i="2"/>
  <c r="AM93" i="2"/>
  <c r="AM103" i="2"/>
  <c r="AM94" i="2"/>
  <c r="AM104" i="2"/>
  <c r="AM95" i="2"/>
  <c r="AM105" i="2"/>
  <c r="AM96" i="2"/>
  <c r="AM106" i="2"/>
  <c r="AM97" i="2"/>
  <c r="AM107" i="2"/>
  <c r="AM98" i="2"/>
  <c r="AM108" i="2"/>
  <c r="AM99" i="2"/>
  <c r="AM109" i="2"/>
  <c r="AM110" i="2"/>
  <c r="AN87" i="2"/>
  <c r="AN88" i="2"/>
  <c r="AN89" i="2"/>
  <c r="AN90" i="2"/>
  <c r="AN100" i="2"/>
  <c r="AN91" i="2"/>
  <c r="AN101" i="2"/>
  <c r="AN92" i="2"/>
  <c r="AN102" i="2"/>
  <c r="AN93" i="2"/>
  <c r="AN103" i="2"/>
  <c r="AN94" i="2"/>
  <c r="AN104" i="2"/>
  <c r="AN95" i="2"/>
  <c r="AN105" i="2"/>
  <c r="AN96" i="2"/>
  <c r="AN106" i="2"/>
  <c r="AN97" i="2"/>
  <c r="AN107" i="2"/>
  <c r="AN98" i="2"/>
  <c r="AN108" i="2"/>
  <c r="AN99" i="2"/>
  <c r="AN109" i="2"/>
  <c r="AN110" i="2"/>
  <c r="AO87" i="2"/>
  <c r="AO88" i="2"/>
  <c r="AO89" i="2"/>
  <c r="AO90" i="2"/>
  <c r="AO100" i="2"/>
  <c r="AO91" i="2"/>
  <c r="AO101" i="2"/>
  <c r="AO92" i="2"/>
  <c r="AO102" i="2"/>
  <c r="AO93" i="2"/>
  <c r="AO103" i="2"/>
  <c r="AO94" i="2"/>
  <c r="AO104" i="2"/>
  <c r="AO95" i="2"/>
  <c r="AO105" i="2"/>
  <c r="AO96" i="2"/>
  <c r="AO106" i="2"/>
  <c r="AO97" i="2"/>
  <c r="AO107" i="2"/>
  <c r="AO98" i="2"/>
  <c r="AO108" i="2"/>
  <c r="AO99" i="2"/>
  <c r="AO109" i="2"/>
  <c r="AO110" i="2"/>
  <c r="AP87" i="2"/>
  <c r="AP88" i="2"/>
  <c r="AP89" i="2"/>
  <c r="AP90" i="2"/>
  <c r="AP100" i="2"/>
  <c r="AP91" i="2"/>
  <c r="AP101" i="2"/>
  <c r="AP92" i="2"/>
  <c r="AP102" i="2"/>
  <c r="AP93" i="2"/>
  <c r="AP103" i="2"/>
  <c r="AP94" i="2"/>
  <c r="AP104" i="2"/>
  <c r="AP95" i="2"/>
  <c r="AP105" i="2"/>
  <c r="AP96" i="2"/>
  <c r="AP106" i="2"/>
  <c r="AP97" i="2"/>
  <c r="AP107" i="2"/>
  <c r="AP98" i="2"/>
  <c r="AP108" i="2"/>
  <c r="AP99" i="2"/>
  <c r="AP109" i="2"/>
  <c r="AP110" i="2"/>
  <c r="AQ87" i="2"/>
  <c r="AQ88" i="2"/>
  <c r="AQ89" i="2"/>
  <c r="AQ90" i="2"/>
  <c r="AQ100" i="2"/>
  <c r="AQ91" i="2"/>
  <c r="AQ101" i="2"/>
  <c r="AQ92" i="2"/>
  <c r="AQ102" i="2"/>
  <c r="AQ93" i="2"/>
  <c r="AQ103" i="2"/>
  <c r="AQ94" i="2"/>
  <c r="AQ104" i="2"/>
  <c r="AQ95" i="2"/>
  <c r="AQ105" i="2"/>
  <c r="AQ96" i="2"/>
  <c r="AQ106" i="2"/>
  <c r="AQ97" i="2"/>
  <c r="AQ107" i="2"/>
  <c r="AQ98" i="2"/>
  <c r="AQ108" i="2"/>
  <c r="AQ99" i="2"/>
  <c r="AQ109" i="2"/>
  <c r="AQ110" i="2"/>
  <c r="AR87" i="2"/>
  <c r="AR88" i="2"/>
  <c r="AR89" i="2"/>
  <c r="AR90" i="2"/>
  <c r="AR100" i="2"/>
  <c r="AR91" i="2"/>
  <c r="AR101" i="2"/>
  <c r="AR92" i="2"/>
  <c r="AR102" i="2"/>
  <c r="AR93" i="2"/>
  <c r="AR103" i="2"/>
  <c r="AR94" i="2"/>
  <c r="AR104" i="2"/>
  <c r="AR95" i="2"/>
  <c r="AR105" i="2"/>
  <c r="AR96" i="2"/>
  <c r="AR106" i="2"/>
  <c r="AR97" i="2"/>
  <c r="AR107" i="2"/>
  <c r="AR98" i="2"/>
  <c r="AR108" i="2"/>
  <c r="AR99" i="2"/>
  <c r="AR109" i="2"/>
  <c r="AR110" i="2"/>
  <c r="AS87" i="2"/>
  <c r="AS88" i="2"/>
  <c r="AS89" i="2"/>
  <c r="AS90" i="2"/>
  <c r="AS100" i="2"/>
  <c r="AS91" i="2"/>
  <c r="AS101" i="2"/>
  <c r="AS92" i="2"/>
  <c r="AS102" i="2"/>
  <c r="AS93" i="2"/>
  <c r="AS103" i="2"/>
  <c r="AS94" i="2"/>
  <c r="AS104" i="2"/>
  <c r="AS95" i="2"/>
  <c r="AS105" i="2"/>
  <c r="AS96" i="2"/>
  <c r="AS106" i="2"/>
  <c r="AS97" i="2"/>
  <c r="AS107" i="2"/>
  <c r="AS98" i="2"/>
  <c r="AS108" i="2"/>
  <c r="AS99" i="2"/>
  <c r="AS109" i="2"/>
  <c r="AS110" i="2"/>
  <c r="AT87" i="2"/>
  <c r="AT88" i="2"/>
  <c r="AT89" i="2"/>
  <c r="AT90" i="2"/>
  <c r="AT100" i="2"/>
  <c r="AT91" i="2"/>
  <c r="AT101" i="2"/>
  <c r="AT92" i="2"/>
  <c r="AT102" i="2"/>
  <c r="AT93" i="2"/>
  <c r="AT103" i="2"/>
  <c r="AT94" i="2"/>
  <c r="AT104" i="2"/>
  <c r="AT95" i="2"/>
  <c r="AT105" i="2"/>
  <c r="AT96" i="2"/>
  <c r="AT106" i="2"/>
  <c r="AT97" i="2"/>
  <c r="AT107" i="2"/>
  <c r="AT98" i="2"/>
  <c r="AT108" i="2"/>
  <c r="AT99" i="2"/>
  <c r="AT109" i="2"/>
  <c r="AT110" i="2"/>
  <c r="AU87" i="2"/>
  <c r="AU88" i="2"/>
  <c r="AU89" i="2"/>
  <c r="AU90" i="2"/>
  <c r="AU100" i="2"/>
  <c r="AU91" i="2"/>
  <c r="AU101" i="2"/>
  <c r="AU92" i="2"/>
  <c r="AU102" i="2"/>
  <c r="AU93" i="2"/>
  <c r="AU103" i="2"/>
  <c r="AU94" i="2"/>
  <c r="AU104" i="2"/>
  <c r="AU95" i="2"/>
  <c r="AU105" i="2"/>
  <c r="AU96" i="2"/>
  <c r="AU106" i="2"/>
  <c r="AU97" i="2"/>
  <c r="AU107" i="2"/>
  <c r="AU98" i="2"/>
  <c r="AU108" i="2"/>
  <c r="AU99" i="2"/>
  <c r="AU109" i="2"/>
  <c r="AU110" i="2"/>
  <c r="AV87" i="2"/>
  <c r="AV88" i="2"/>
  <c r="AV89" i="2"/>
  <c r="AV90" i="2"/>
  <c r="AV100" i="2"/>
  <c r="AV91" i="2"/>
  <c r="AV101" i="2"/>
  <c r="AV92" i="2"/>
  <c r="AV102" i="2"/>
  <c r="AV93" i="2"/>
  <c r="AV103" i="2"/>
  <c r="AV94" i="2"/>
  <c r="AV104" i="2"/>
  <c r="AV95" i="2"/>
  <c r="AV105" i="2"/>
  <c r="AV96" i="2"/>
  <c r="AV106" i="2"/>
  <c r="AV97" i="2"/>
  <c r="AV107" i="2"/>
  <c r="AV98" i="2"/>
  <c r="AV108" i="2"/>
  <c r="AV99" i="2"/>
  <c r="AV109" i="2"/>
  <c r="AV110" i="2"/>
  <c r="AW87" i="2"/>
  <c r="AW88" i="2"/>
  <c r="AW89" i="2"/>
  <c r="AW90" i="2"/>
  <c r="AW100" i="2"/>
  <c r="AW91" i="2"/>
  <c r="AW101" i="2"/>
  <c r="AW92" i="2"/>
  <c r="AW102" i="2"/>
  <c r="AW93" i="2"/>
  <c r="AW103" i="2"/>
  <c r="AW94" i="2"/>
  <c r="AW104" i="2"/>
  <c r="AW95" i="2"/>
  <c r="AW105" i="2"/>
  <c r="AW96" i="2"/>
  <c r="AW106" i="2"/>
  <c r="AW97" i="2"/>
  <c r="AW107" i="2"/>
  <c r="AW98" i="2"/>
  <c r="AW108" i="2"/>
  <c r="AW99" i="2"/>
  <c r="AW109" i="2"/>
  <c r="AW110" i="2"/>
  <c r="AX87" i="2"/>
  <c r="AX88" i="2"/>
  <c r="AX89" i="2"/>
  <c r="AX90" i="2"/>
  <c r="AX100" i="2"/>
  <c r="AX91" i="2"/>
  <c r="AX101" i="2"/>
  <c r="AX92" i="2"/>
  <c r="AX102" i="2"/>
  <c r="AX93" i="2"/>
  <c r="AX103" i="2"/>
  <c r="AX94" i="2"/>
  <c r="AX104" i="2"/>
  <c r="AX95" i="2"/>
  <c r="AX105" i="2"/>
  <c r="AX96" i="2"/>
  <c r="AX106" i="2"/>
  <c r="AX97" i="2"/>
  <c r="AX107" i="2"/>
  <c r="AX98" i="2"/>
  <c r="AX108" i="2"/>
  <c r="AX99" i="2"/>
  <c r="AX109" i="2"/>
  <c r="AX110" i="2"/>
  <c r="AY87" i="2"/>
  <c r="AY88" i="2"/>
  <c r="AY89" i="2"/>
  <c r="AY90" i="2"/>
  <c r="AY100" i="2"/>
  <c r="AY91" i="2"/>
  <c r="AY101" i="2"/>
  <c r="AY92" i="2"/>
  <c r="AY102" i="2"/>
  <c r="AY93" i="2"/>
  <c r="AY103" i="2"/>
  <c r="AY94" i="2"/>
  <c r="AY104" i="2"/>
  <c r="AY95" i="2"/>
  <c r="AY105" i="2"/>
  <c r="AY96" i="2"/>
  <c r="AY106" i="2"/>
  <c r="AY97" i="2"/>
  <c r="AY107" i="2"/>
  <c r="AY98" i="2"/>
  <c r="AY108" i="2"/>
  <c r="AY99" i="2"/>
  <c r="AY109" i="2"/>
  <c r="AY110" i="2"/>
  <c r="AZ87" i="2"/>
  <c r="AZ88" i="2"/>
  <c r="AZ89" i="2"/>
  <c r="AZ90" i="2"/>
  <c r="AZ100" i="2"/>
  <c r="AZ91" i="2"/>
  <c r="AZ101" i="2"/>
  <c r="AZ92" i="2"/>
  <c r="AZ102" i="2"/>
  <c r="AZ93" i="2"/>
  <c r="AZ103" i="2"/>
  <c r="AZ94" i="2"/>
  <c r="AZ104" i="2"/>
  <c r="AZ95" i="2"/>
  <c r="AZ105" i="2"/>
  <c r="AZ96" i="2"/>
  <c r="AZ106" i="2"/>
  <c r="AZ97" i="2"/>
  <c r="AZ107" i="2"/>
  <c r="AZ98" i="2"/>
  <c r="AZ108" i="2"/>
  <c r="AZ99" i="2"/>
  <c r="AZ109" i="2"/>
  <c r="AZ110" i="2"/>
  <c r="BA87" i="2"/>
  <c r="BA88" i="2"/>
  <c r="BA89" i="2"/>
  <c r="BA90" i="2"/>
  <c r="BA100" i="2"/>
  <c r="BA91" i="2"/>
  <c r="BA101" i="2"/>
  <c r="BA92" i="2"/>
  <c r="BA102" i="2"/>
  <c r="BA93" i="2"/>
  <c r="BA103" i="2"/>
  <c r="BA94" i="2"/>
  <c r="BA104" i="2"/>
  <c r="BA95" i="2"/>
  <c r="BA105" i="2"/>
  <c r="BA96" i="2"/>
  <c r="BA106" i="2"/>
  <c r="BA97" i="2"/>
  <c r="BA107" i="2"/>
  <c r="BA98" i="2"/>
  <c r="BA108" i="2"/>
  <c r="BA99" i="2"/>
  <c r="BA109" i="2"/>
  <c r="BA110" i="2"/>
  <c r="BB87" i="2"/>
  <c r="BB88" i="2"/>
  <c r="BB89" i="2"/>
  <c r="BB90" i="2"/>
  <c r="BB100" i="2"/>
  <c r="BB91" i="2"/>
  <c r="BB101" i="2"/>
  <c r="BB92" i="2"/>
  <c r="BB102" i="2"/>
  <c r="BB93" i="2"/>
  <c r="BB103" i="2"/>
  <c r="BB94" i="2"/>
  <c r="BB104" i="2"/>
  <c r="BB95" i="2"/>
  <c r="BB105" i="2"/>
  <c r="BB96" i="2"/>
  <c r="BB106" i="2"/>
  <c r="BB97" i="2"/>
  <c r="BB107" i="2"/>
  <c r="BB98" i="2"/>
  <c r="BB108" i="2"/>
  <c r="BB99" i="2"/>
  <c r="BB109" i="2"/>
  <c r="BB110" i="2"/>
  <c r="BC87" i="2"/>
  <c r="BC88" i="2"/>
  <c r="BC89" i="2"/>
  <c r="BC90" i="2"/>
  <c r="BC100" i="2"/>
  <c r="BC91" i="2"/>
  <c r="BC101" i="2"/>
  <c r="BC92" i="2"/>
  <c r="BC102" i="2"/>
  <c r="BC93" i="2"/>
  <c r="BC103" i="2"/>
  <c r="BC94" i="2"/>
  <c r="BC104" i="2"/>
  <c r="BC95" i="2"/>
  <c r="BC105" i="2"/>
  <c r="BC96" i="2"/>
  <c r="BC106" i="2"/>
  <c r="BC97" i="2"/>
  <c r="BC107" i="2"/>
  <c r="BC98" i="2"/>
  <c r="BC108" i="2"/>
  <c r="BC99" i="2"/>
  <c r="BC109" i="2"/>
  <c r="BC110" i="2"/>
  <c r="BD87" i="2"/>
  <c r="BD88" i="2"/>
  <c r="BD89" i="2"/>
  <c r="BD90" i="2"/>
  <c r="BD100" i="2"/>
  <c r="BD91" i="2"/>
  <c r="BD101" i="2"/>
  <c r="BD92" i="2"/>
  <c r="BD102" i="2"/>
  <c r="BD93" i="2"/>
  <c r="BD103" i="2"/>
  <c r="BD94" i="2"/>
  <c r="BD104" i="2"/>
  <c r="BD95" i="2"/>
  <c r="BD105" i="2"/>
  <c r="BD96" i="2"/>
  <c r="BD106" i="2"/>
  <c r="BD97" i="2"/>
  <c r="BD107" i="2"/>
  <c r="BD98" i="2"/>
  <c r="BD108" i="2"/>
  <c r="BD99" i="2"/>
  <c r="BD109" i="2"/>
  <c r="BD110" i="2"/>
  <c r="BE87" i="2"/>
  <c r="BE88" i="2"/>
  <c r="BE89" i="2"/>
  <c r="BE90" i="2"/>
  <c r="BE100" i="2"/>
  <c r="BE91" i="2"/>
  <c r="BE101" i="2"/>
  <c r="BE92" i="2"/>
  <c r="BE102" i="2"/>
  <c r="BE93" i="2"/>
  <c r="BE103" i="2"/>
  <c r="BE94" i="2"/>
  <c r="BE104" i="2"/>
  <c r="BE95" i="2"/>
  <c r="BE105" i="2"/>
  <c r="BE96" i="2"/>
  <c r="BE106" i="2"/>
  <c r="BE97" i="2"/>
  <c r="BE107" i="2"/>
  <c r="BE98" i="2"/>
  <c r="BE108" i="2"/>
  <c r="BE99" i="2"/>
  <c r="BE109" i="2"/>
  <c r="BE110" i="2"/>
  <c r="BF87" i="2"/>
  <c r="BF88" i="2"/>
  <c r="BF89" i="2"/>
  <c r="BF90" i="2"/>
  <c r="BF100" i="2"/>
  <c r="BF91" i="2"/>
  <c r="BF101" i="2"/>
  <c r="BF92" i="2"/>
  <c r="BF102" i="2"/>
  <c r="BF93" i="2"/>
  <c r="BF103" i="2"/>
  <c r="BF94" i="2"/>
  <c r="BF104" i="2"/>
  <c r="BF95" i="2"/>
  <c r="BF105" i="2"/>
  <c r="BF96" i="2"/>
  <c r="BF106" i="2"/>
  <c r="BF97" i="2"/>
  <c r="BF107" i="2"/>
  <c r="BF98" i="2"/>
  <c r="BF108" i="2"/>
  <c r="BF99" i="2"/>
  <c r="BF109" i="2"/>
  <c r="BF110" i="2"/>
  <c r="BG87" i="2"/>
  <c r="BG88" i="2"/>
  <c r="BG89" i="2"/>
  <c r="BG90" i="2"/>
  <c r="BG100" i="2"/>
  <c r="BG91" i="2"/>
  <c r="BG101" i="2"/>
  <c r="BG92" i="2"/>
  <c r="BG102" i="2"/>
  <c r="BG93" i="2"/>
  <c r="BG103" i="2"/>
  <c r="BG94" i="2"/>
  <c r="BG104" i="2"/>
  <c r="BG95" i="2"/>
  <c r="BG105" i="2"/>
  <c r="BG96" i="2"/>
  <c r="BG106" i="2"/>
  <c r="BG97" i="2"/>
  <c r="BG107" i="2"/>
  <c r="BG98" i="2"/>
  <c r="BG108" i="2"/>
  <c r="BG99" i="2"/>
  <c r="BG109" i="2"/>
  <c r="BG110" i="2"/>
  <c r="BH87" i="2"/>
  <c r="BH88" i="2"/>
  <c r="BH89" i="2"/>
  <c r="BH90" i="2"/>
  <c r="BH100" i="2"/>
  <c r="BH91" i="2"/>
  <c r="BH101" i="2"/>
  <c r="BH92" i="2"/>
  <c r="BH102" i="2"/>
  <c r="BH93" i="2"/>
  <c r="BH103" i="2"/>
  <c r="BH94" i="2"/>
  <c r="BH104" i="2"/>
  <c r="BH95" i="2"/>
  <c r="BH105" i="2"/>
  <c r="BH96" i="2"/>
  <c r="BH106" i="2"/>
  <c r="BH97" i="2"/>
  <c r="BH107" i="2"/>
  <c r="BH98" i="2"/>
  <c r="BH108" i="2"/>
  <c r="BH99" i="2"/>
  <c r="BH109" i="2"/>
  <c r="BH110" i="2"/>
  <c r="BI87" i="2"/>
  <c r="BI88" i="2"/>
  <c r="BI89" i="2"/>
  <c r="BI90" i="2"/>
  <c r="BI100" i="2"/>
  <c r="BI91" i="2"/>
  <c r="BI101" i="2"/>
  <c r="BI92" i="2"/>
  <c r="BI102" i="2"/>
  <c r="BI93" i="2"/>
  <c r="BI103" i="2"/>
  <c r="BI94" i="2"/>
  <c r="BI104" i="2"/>
  <c r="BI95" i="2"/>
  <c r="BI105" i="2"/>
  <c r="BI96" i="2"/>
  <c r="BI106" i="2"/>
  <c r="BI97" i="2"/>
  <c r="BI107" i="2"/>
  <c r="BI98" i="2"/>
  <c r="BI108" i="2"/>
  <c r="BI99" i="2"/>
  <c r="BI109" i="2"/>
  <c r="BI110" i="2"/>
  <c r="BJ87" i="2"/>
  <c r="BJ88" i="2"/>
  <c r="BJ89" i="2"/>
  <c r="BJ90" i="2"/>
  <c r="BJ100" i="2"/>
  <c r="BJ91" i="2"/>
  <c r="BJ101" i="2"/>
  <c r="BJ92" i="2"/>
  <c r="BJ102" i="2"/>
  <c r="BJ93" i="2"/>
  <c r="BJ103" i="2"/>
  <c r="BJ94" i="2"/>
  <c r="BJ104" i="2"/>
  <c r="BJ95" i="2"/>
  <c r="BJ105" i="2"/>
  <c r="BJ96" i="2"/>
  <c r="BJ106" i="2"/>
  <c r="BJ97" i="2"/>
  <c r="BJ107" i="2"/>
  <c r="BJ98" i="2"/>
  <c r="BJ108" i="2"/>
  <c r="BJ99" i="2"/>
  <c r="BJ109" i="2"/>
  <c r="BJ110" i="2"/>
  <c r="BK87" i="2"/>
  <c r="BK88" i="2"/>
  <c r="BK89" i="2"/>
  <c r="BK90" i="2"/>
  <c r="BK100" i="2"/>
  <c r="BK91" i="2"/>
  <c r="BK101" i="2"/>
  <c r="BK92" i="2"/>
  <c r="BK102" i="2"/>
  <c r="BK93" i="2"/>
  <c r="BK103" i="2"/>
  <c r="BK94" i="2"/>
  <c r="BK104" i="2"/>
  <c r="BK95" i="2"/>
  <c r="BK105" i="2"/>
  <c r="BK96" i="2"/>
  <c r="BK106" i="2"/>
  <c r="BK97" i="2"/>
  <c r="BK107" i="2"/>
  <c r="BK98" i="2"/>
  <c r="BK108" i="2"/>
  <c r="BK99" i="2"/>
  <c r="BK109" i="2"/>
  <c r="BK110" i="2"/>
  <c r="BL87" i="2"/>
  <c r="BL88" i="2"/>
  <c r="BL89" i="2"/>
  <c r="BL90" i="2"/>
  <c r="BL100" i="2"/>
  <c r="BL91" i="2"/>
  <c r="BL101" i="2"/>
  <c r="BL92" i="2"/>
  <c r="BL102" i="2"/>
  <c r="BL93" i="2"/>
  <c r="BL103" i="2"/>
  <c r="BL94" i="2"/>
  <c r="BL104" i="2"/>
  <c r="BL95" i="2"/>
  <c r="BL105" i="2"/>
  <c r="BL96" i="2"/>
  <c r="BL106" i="2"/>
  <c r="BL97" i="2"/>
  <c r="BL107" i="2"/>
  <c r="BL98" i="2"/>
  <c r="BL108" i="2"/>
  <c r="BL99" i="2"/>
  <c r="BL109" i="2"/>
  <c r="BL110" i="2"/>
  <c r="BM87" i="2"/>
  <c r="BM88" i="2"/>
  <c r="BM89" i="2"/>
  <c r="BM90" i="2"/>
  <c r="BM100" i="2"/>
  <c r="BM91" i="2"/>
  <c r="BM101" i="2"/>
  <c r="BM92" i="2"/>
  <c r="BM102" i="2"/>
  <c r="BM93" i="2"/>
  <c r="BM103" i="2"/>
  <c r="BM94" i="2"/>
  <c r="BM104" i="2"/>
  <c r="BM95" i="2"/>
  <c r="BM105" i="2"/>
  <c r="BM96" i="2"/>
  <c r="BM106" i="2"/>
  <c r="BM97" i="2"/>
  <c r="BM107" i="2"/>
  <c r="BM98" i="2"/>
  <c r="BM108" i="2"/>
  <c r="BM99" i="2"/>
  <c r="BM109" i="2"/>
  <c r="BM110" i="2"/>
  <c r="BN87" i="2"/>
  <c r="BN88" i="2"/>
  <c r="BN89" i="2"/>
  <c r="BN90" i="2"/>
  <c r="BN100" i="2"/>
  <c r="BN91" i="2"/>
  <c r="BN101" i="2"/>
  <c r="BN92" i="2"/>
  <c r="BN102" i="2"/>
  <c r="BN93" i="2"/>
  <c r="BN103" i="2"/>
  <c r="BN94" i="2"/>
  <c r="BN104" i="2"/>
  <c r="BN95" i="2"/>
  <c r="BN105" i="2"/>
  <c r="BN96" i="2"/>
  <c r="BN106" i="2"/>
  <c r="BN97" i="2"/>
  <c r="BN107" i="2"/>
  <c r="BN98" i="2"/>
  <c r="BN108" i="2"/>
  <c r="BN99" i="2"/>
  <c r="BN109" i="2"/>
  <c r="BN110" i="2"/>
  <c r="BO87" i="2"/>
  <c r="BO88" i="2"/>
  <c r="BO89" i="2"/>
  <c r="BO90" i="2"/>
  <c r="BO100" i="2"/>
  <c r="BO91" i="2"/>
  <c r="BO101" i="2"/>
  <c r="BO92" i="2"/>
  <c r="BO102" i="2"/>
  <c r="BO93" i="2"/>
  <c r="BO103" i="2"/>
  <c r="BO94" i="2"/>
  <c r="BO104" i="2"/>
  <c r="BO95" i="2"/>
  <c r="BO105" i="2"/>
  <c r="BO96" i="2"/>
  <c r="BO106" i="2"/>
  <c r="BO97" i="2"/>
  <c r="BO107" i="2"/>
  <c r="BO98" i="2"/>
  <c r="BO108" i="2"/>
  <c r="BO99" i="2"/>
  <c r="BO109" i="2"/>
  <c r="BO110" i="2"/>
  <c r="BP87" i="2"/>
  <c r="BP88" i="2"/>
  <c r="BP89" i="2"/>
  <c r="BP90" i="2"/>
  <c r="BP100" i="2"/>
  <c r="BP91" i="2"/>
  <c r="BP101" i="2"/>
  <c r="BP92" i="2"/>
  <c r="BP102" i="2"/>
  <c r="BP93" i="2"/>
  <c r="BP103" i="2"/>
  <c r="BP94" i="2"/>
  <c r="BP104" i="2"/>
  <c r="BP95" i="2"/>
  <c r="BP105" i="2"/>
  <c r="BP96" i="2"/>
  <c r="BP106" i="2"/>
  <c r="BP97" i="2"/>
  <c r="BP107" i="2"/>
  <c r="BP98" i="2"/>
  <c r="BP108" i="2"/>
  <c r="BP99" i="2"/>
  <c r="BP109" i="2"/>
  <c r="BP110" i="2"/>
  <c r="BQ87" i="2"/>
  <c r="BQ88" i="2"/>
  <c r="BQ89" i="2"/>
  <c r="BQ90" i="2"/>
  <c r="BQ100" i="2"/>
  <c r="BQ91" i="2"/>
  <c r="BQ101" i="2"/>
  <c r="BQ92" i="2"/>
  <c r="BQ102" i="2"/>
  <c r="BQ93" i="2"/>
  <c r="BQ103" i="2"/>
  <c r="BQ94" i="2"/>
  <c r="BQ104" i="2"/>
  <c r="BQ95" i="2"/>
  <c r="BQ105" i="2"/>
  <c r="BQ96" i="2"/>
  <c r="BQ106" i="2"/>
  <c r="BQ97" i="2"/>
  <c r="BQ107" i="2"/>
  <c r="BQ98" i="2"/>
  <c r="BQ108" i="2"/>
  <c r="BQ99" i="2"/>
  <c r="BQ109" i="2"/>
  <c r="BQ110" i="2"/>
  <c r="BR87" i="2"/>
  <c r="BR88" i="2"/>
  <c r="BR89" i="2"/>
  <c r="BR90" i="2"/>
  <c r="BR100" i="2"/>
  <c r="BR91" i="2"/>
  <c r="BR101" i="2"/>
  <c r="BR92" i="2"/>
  <c r="BR102" i="2"/>
  <c r="BR93" i="2"/>
  <c r="BR103" i="2"/>
  <c r="BR94" i="2"/>
  <c r="BR104" i="2"/>
  <c r="BR95" i="2"/>
  <c r="BR105" i="2"/>
  <c r="BR96" i="2"/>
  <c r="BR106" i="2"/>
  <c r="BR97" i="2"/>
  <c r="BR107" i="2"/>
  <c r="BR98" i="2"/>
  <c r="BR108" i="2"/>
  <c r="BR99" i="2"/>
  <c r="BR109" i="2"/>
  <c r="BR110" i="2"/>
  <c r="BS87" i="2"/>
  <c r="BS88" i="2"/>
  <c r="BS89" i="2"/>
  <c r="BS90" i="2"/>
  <c r="BS100" i="2"/>
  <c r="BS91" i="2"/>
  <c r="BS101" i="2"/>
  <c r="BS92" i="2"/>
  <c r="BS102" i="2"/>
  <c r="BS93" i="2"/>
  <c r="BS103" i="2"/>
  <c r="BS94" i="2"/>
  <c r="BS104" i="2"/>
  <c r="BS95" i="2"/>
  <c r="BS105" i="2"/>
  <c r="BS96" i="2"/>
  <c r="BS106" i="2"/>
  <c r="BS97" i="2"/>
  <c r="BS107" i="2"/>
  <c r="BS98" i="2"/>
  <c r="BS108" i="2"/>
  <c r="BS99" i="2"/>
  <c r="BS109" i="2"/>
  <c r="BS110" i="2"/>
  <c r="BT87" i="2"/>
  <c r="BT88" i="2"/>
  <c r="BT89" i="2"/>
  <c r="BT90" i="2"/>
  <c r="BT100" i="2"/>
  <c r="BT91" i="2"/>
  <c r="BT101" i="2"/>
  <c r="BT92" i="2"/>
  <c r="BT102" i="2"/>
  <c r="BT93" i="2"/>
  <c r="BT103" i="2"/>
  <c r="BT94" i="2"/>
  <c r="BT104" i="2"/>
  <c r="BT95" i="2"/>
  <c r="BT105" i="2"/>
  <c r="BT96" i="2"/>
  <c r="BT106" i="2"/>
  <c r="BT97" i="2"/>
  <c r="BT107" i="2"/>
  <c r="BT98" i="2"/>
  <c r="BT108" i="2"/>
  <c r="BT99" i="2"/>
  <c r="BT109" i="2"/>
  <c r="BT110" i="2"/>
  <c r="BU87" i="2"/>
  <c r="BU88" i="2"/>
  <c r="BU89" i="2"/>
  <c r="BU90" i="2"/>
  <c r="BU100" i="2"/>
  <c r="BU91" i="2"/>
  <c r="BU101" i="2"/>
  <c r="BU92" i="2"/>
  <c r="BU102" i="2"/>
  <c r="BU93" i="2"/>
  <c r="BU103" i="2"/>
  <c r="BU94" i="2"/>
  <c r="BU104" i="2"/>
  <c r="BU95" i="2"/>
  <c r="BU105" i="2"/>
  <c r="BU96" i="2"/>
  <c r="BU106" i="2"/>
  <c r="BU97" i="2"/>
  <c r="BU107" i="2"/>
  <c r="BU98" i="2"/>
  <c r="BU108" i="2"/>
  <c r="BU99" i="2"/>
  <c r="BU109" i="2"/>
  <c r="BU110" i="2"/>
  <c r="BV87" i="2"/>
  <c r="BV88" i="2"/>
  <c r="BV89" i="2"/>
  <c r="BV90" i="2"/>
  <c r="BV100" i="2"/>
  <c r="BV91" i="2"/>
  <c r="BV101" i="2"/>
  <c r="BV92" i="2"/>
  <c r="BV102" i="2"/>
  <c r="BV93" i="2"/>
  <c r="BV103" i="2"/>
  <c r="BV94" i="2"/>
  <c r="BV104" i="2"/>
  <c r="BV95" i="2"/>
  <c r="BV105" i="2"/>
  <c r="BV96" i="2"/>
  <c r="BV106" i="2"/>
  <c r="BV97" i="2"/>
  <c r="BV107" i="2"/>
  <c r="BV98" i="2"/>
  <c r="BV108" i="2"/>
  <c r="BV99" i="2"/>
  <c r="BV109" i="2"/>
  <c r="BV110" i="2"/>
  <c r="BW87" i="2"/>
  <c r="BW88" i="2"/>
  <c r="BW89" i="2"/>
  <c r="BW90" i="2"/>
  <c r="BW100" i="2"/>
  <c r="BW91" i="2"/>
  <c r="BW101" i="2"/>
  <c r="BW92" i="2"/>
  <c r="BW102" i="2"/>
  <c r="BW93" i="2"/>
  <c r="BW103" i="2"/>
  <c r="BW94" i="2"/>
  <c r="BW104" i="2"/>
  <c r="BW95" i="2"/>
  <c r="BW105" i="2"/>
  <c r="BW96" i="2"/>
  <c r="BW106" i="2"/>
  <c r="BW97" i="2"/>
  <c r="BW107" i="2"/>
  <c r="BW98" i="2"/>
  <c r="BW108" i="2"/>
  <c r="BW99" i="2"/>
  <c r="BW109" i="2"/>
  <c r="BW110" i="2"/>
  <c r="BX87" i="2"/>
  <c r="BX88" i="2"/>
  <c r="BX89" i="2"/>
  <c r="BX90" i="2"/>
  <c r="BX100" i="2"/>
  <c r="BX91" i="2"/>
  <c r="BX101" i="2"/>
  <c r="BX92" i="2"/>
  <c r="BX102" i="2"/>
  <c r="BX93" i="2"/>
  <c r="BX103" i="2"/>
  <c r="BX94" i="2"/>
  <c r="BX104" i="2"/>
  <c r="BX95" i="2"/>
  <c r="BX105" i="2"/>
  <c r="BX96" i="2"/>
  <c r="BX106" i="2"/>
  <c r="BX97" i="2"/>
  <c r="BX107" i="2"/>
  <c r="BX98" i="2"/>
  <c r="BX108" i="2"/>
  <c r="BX99" i="2"/>
  <c r="BX109" i="2"/>
  <c r="BX110" i="2"/>
  <c r="BY87" i="2"/>
  <c r="BY88" i="2"/>
  <c r="BY89" i="2"/>
  <c r="BY90" i="2"/>
  <c r="BY100" i="2"/>
  <c r="BY91" i="2"/>
  <c r="BY101" i="2"/>
  <c r="BY92" i="2"/>
  <c r="BY102" i="2"/>
  <c r="BY93" i="2"/>
  <c r="BY103" i="2"/>
  <c r="BY94" i="2"/>
  <c r="BY104" i="2"/>
  <c r="BY95" i="2"/>
  <c r="BY105" i="2"/>
  <c r="BY96" i="2"/>
  <c r="BY106" i="2"/>
  <c r="BY97" i="2"/>
  <c r="BY107" i="2"/>
  <c r="BY98" i="2"/>
  <c r="BY108" i="2"/>
  <c r="BY99" i="2"/>
  <c r="BY109" i="2"/>
  <c r="BY110" i="2"/>
  <c r="BZ87" i="2"/>
  <c r="BZ88" i="2"/>
  <c r="BZ89" i="2"/>
  <c r="BZ90" i="2"/>
  <c r="BZ100" i="2"/>
  <c r="BZ91" i="2"/>
  <c r="BZ101" i="2"/>
  <c r="BZ92" i="2"/>
  <c r="BZ102" i="2"/>
  <c r="BZ93" i="2"/>
  <c r="BZ103" i="2"/>
  <c r="BZ94" i="2"/>
  <c r="BZ104" i="2"/>
  <c r="BZ95" i="2"/>
  <c r="BZ105" i="2"/>
  <c r="BZ96" i="2"/>
  <c r="BZ106" i="2"/>
  <c r="BZ97" i="2"/>
  <c r="BZ107" i="2"/>
  <c r="BZ98" i="2"/>
  <c r="BZ108" i="2"/>
  <c r="BZ99" i="2"/>
  <c r="BZ109" i="2"/>
  <c r="BZ110" i="2"/>
  <c r="CA87" i="2"/>
  <c r="CA88" i="2"/>
  <c r="CA89" i="2"/>
  <c r="CA90" i="2"/>
  <c r="CA100" i="2"/>
  <c r="CA91" i="2"/>
  <c r="CA101" i="2"/>
  <c r="CA92" i="2"/>
  <c r="CA102" i="2"/>
  <c r="CA93" i="2"/>
  <c r="CA103" i="2"/>
  <c r="CA94" i="2"/>
  <c r="CA104" i="2"/>
  <c r="CA95" i="2"/>
  <c r="CA105" i="2"/>
  <c r="CA96" i="2"/>
  <c r="CA106" i="2"/>
  <c r="CA97" i="2"/>
  <c r="CA107" i="2"/>
  <c r="CA98" i="2"/>
  <c r="CA108" i="2"/>
  <c r="CA99" i="2"/>
  <c r="CA109" i="2"/>
  <c r="CA110" i="2"/>
  <c r="CB87" i="2"/>
  <c r="CB88" i="2"/>
  <c r="CB89" i="2"/>
  <c r="CB90" i="2"/>
  <c r="CB100" i="2"/>
  <c r="CB91" i="2"/>
  <c r="CB101" i="2"/>
  <c r="CB92" i="2"/>
  <c r="CB102" i="2"/>
  <c r="CB93" i="2"/>
  <c r="CB103" i="2"/>
  <c r="CB94" i="2"/>
  <c r="CB104" i="2"/>
  <c r="CB95" i="2"/>
  <c r="CB105" i="2"/>
  <c r="CB96" i="2"/>
  <c r="CB106" i="2"/>
  <c r="CB97" i="2"/>
  <c r="CB107" i="2"/>
  <c r="CB98" i="2"/>
  <c r="CB108" i="2"/>
  <c r="CB99" i="2"/>
  <c r="CB109" i="2"/>
  <c r="CB110" i="2"/>
  <c r="CC87" i="2"/>
  <c r="CC88" i="2"/>
  <c r="CC89" i="2"/>
  <c r="CC90" i="2"/>
  <c r="CC100" i="2"/>
  <c r="CC91" i="2"/>
  <c r="CC101" i="2"/>
  <c r="CC92" i="2"/>
  <c r="CC102" i="2"/>
  <c r="CC93" i="2"/>
  <c r="CC103" i="2"/>
  <c r="CC94" i="2"/>
  <c r="CC104" i="2"/>
  <c r="CC95" i="2"/>
  <c r="CC105" i="2"/>
  <c r="CC96" i="2"/>
  <c r="CC106" i="2"/>
  <c r="CC97" i="2"/>
  <c r="CC107" i="2"/>
  <c r="CC98" i="2"/>
  <c r="CC108" i="2"/>
  <c r="CC99" i="2"/>
  <c r="CC109" i="2"/>
  <c r="CC110" i="2"/>
  <c r="CD87" i="2"/>
  <c r="CD88" i="2"/>
  <c r="CD89" i="2"/>
  <c r="CD90" i="2"/>
  <c r="CD100" i="2"/>
  <c r="CD91" i="2"/>
  <c r="CD101" i="2"/>
  <c r="CD92" i="2"/>
  <c r="CD102" i="2"/>
  <c r="CD93" i="2"/>
  <c r="CD103" i="2"/>
  <c r="CD94" i="2"/>
  <c r="CD104" i="2"/>
  <c r="CD95" i="2"/>
  <c r="CD105" i="2"/>
  <c r="CD96" i="2"/>
  <c r="CD106" i="2"/>
  <c r="CD97" i="2"/>
  <c r="CD107" i="2"/>
  <c r="CD98" i="2"/>
  <c r="CD108" i="2"/>
  <c r="CD99" i="2"/>
  <c r="CD109" i="2"/>
  <c r="CD110" i="2"/>
  <c r="CE87" i="2"/>
  <c r="CE88" i="2"/>
  <c r="CE89" i="2"/>
  <c r="CE90" i="2"/>
  <c r="CE100" i="2"/>
  <c r="CE91" i="2"/>
  <c r="CE101" i="2"/>
  <c r="CE92" i="2"/>
  <c r="CE102" i="2"/>
  <c r="CE93" i="2"/>
  <c r="CE103" i="2"/>
  <c r="CE94" i="2"/>
  <c r="CE104" i="2"/>
  <c r="CE95" i="2"/>
  <c r="CE105" i="2"/>
  <c r="CE96" i="2"/>
  <c r="CE106" i="2"/>
  <c r="CE97" i="2"/>
  <c r="CE107" i="2"/>
  <c r="CE98" i="2"/>
  <c r="CE108" i="2"/>
  <c r="CE99" i="2"/>
  <c r="CE109" i="2"/>
  <c r="CE110" i="2"/>
  <c r="CF87" i="2"/>
  <c r="CF88" i="2"/>
  <c r="CF89" i="2"/>
  <c r="L8" i="1"/>
  <c r="M26" i="1"/>
  <c r="M27" i="1"/>
  <c r="M28" i="1"/>
  <c r="M29" i="1"/>
  <c r="M30" i="1"/>
  <c r="M31" i="1"/>
  <c r="M32" i="1"/>
  <c r="M33" i="1"/>
  <c r="M34" i="1"/>
  <c r="M35" i="1"/>
  <c r="M36" i="1"/>
  <c r="AI31" i="2"/>
  <c r="AI32" i="2"/>
  <c r="AI33" i="2"/>
  <c r="S4" i="2"/>
  <c r="R4" i="2"/>
  <c r="T4" i="2"/>
  <c r="H4" i="2"/>
  <c r="W4" i="2"/>
  <c r="AB4" i="2"/>
  <c r="AC4" i="2"/>
  <c r="AD4" i="2"/>
  <c r="G19" i="2"/>
  <c r="S5" i="2"/>
  <c r="R5" i="2"/>
  <c r="T5" i="2"/>
  <c r="W5" i="2"/>
  <c r="AB5" i="2"/>
  <c r="AC5" i="2"/>
  <c r="AD5" i="2"/>
  <c r="G20" i="2"/>
  <c r="S6" i="2"/>
  <c r="R6" i="2"/>
  <c r="T6" i="2"/>
  <c r="S7" i="2"/>
  <c r="T7" i="2"/>
  <c r="AB7" i="2"/>
  <c r="S8" i="2"/>
  <c r="T8" i="2"/>
  <c r="AB8" i="2"/>
  <c r="R8" i="2"/>
  <c r="U8" i="2"/>
  <c r="AC8" i="2"/>
  <c r="AD8" i="2"/>
  <c r="G23" i="2"/>
  <c r="S9" i="2"/>
  <c r="T9" i="2"/>
  <c r="AB9" i="2"/>
  <c r="R9" i="2"/>
  <c r="U9" i="2"/>
  <c r="AC9" i="2"/>
  <c r="AD9" i="2"/>
  <c r="G24" i="2"/>
  <c r="S10" i="2"/>
  <c r="T10" i="2"/>
  <c r="AB10" i="2"/>
  <c r="R10" i="2"/>
  <c r="U10" i="2"/>
  <c r="AC10" i="2"/>
  <c r="AD10" i="2"/>
  <c r="G25" i="2"/>
  <c r="S11" i="2"/>
  <c r="T11" i="2"/>
  <c r="AB11" i="2"/>
  <c r="R11" i="2"/>
  <c r="U11" i="2"/>
  <c r="AC11" i="2"/>
  <c r="AD11" i="2"/>
  <c r="G26" i="2"/>
  <c r="S12" i="2"/>
  <c r="T12" i="2"/>
  <c r="AB12" i="2"/>
  <c r="R12" i="2"/>
  <c r="U12" i="2"/>
  <c r="AC12" i="2"/>
  <c r="AD12" i="2"/>
  <c r="G27" i="2"/>
  <c r="S13" i="2"/>
  <c r="T13" i="2"/>
  <c r="AB13" i="2"/>
  <c r="R13" i="2"/>
  <c r="U13" i="2"/>
  <c r="AC13" i="2"/>
  <c r="AD13" i="2"/>
  <c r="G28" i="2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E278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F278" i="1"/>
  <c r="C280" i="1"/>
  <c r="C281" i="1"/>
  <c r="C282" i="1"/>
  <c r="C283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D104" i="1"/>
  <c r="D105" i="1"/>
  <c r="D106" i="1"/>
  <c r="D107" i="1"/>
  <c r="D108" i="1"/>
  <c r="D109" i="1"/>
  <c r="D110" i="1"/>
  <c r="D111" i="1"/>
  <c r="D112" i="1"/>
  <c r="D113" i="1"/>
  <c r="G7" i="1"/>
  <c r="M10" i="1"/>
  <c r="M11" i="1"/>
  <c r="M12" i="1"/>
  <c r="M13" i="1"/>
  <c r="M14" i="1"/>
  <c r="M15" i="1"/>
  <c r="M20" i="1"/>
  <c r="N10" i="1"/>
  <c r="N11" i="1"/>
  <c r="N12" i="1"/>
  <c r="N13" i="1"/>
  <c r="N14" i="1"/>
  <c r="N15" i="1"/>
  <c r="M16" i="1"/>
  <c r="N16" i="1"/>
  <c r="M17" i="1"/>
  <c r="N17" i="1"/>
  <c r="M18" i="1"/>
  <c r="N18" i="1"/>
  <c r="M19" i="1"/>
  <c r="N19" i="1"/>
  <c r="H10" i="1"/>
  <c r="J8" i="1"/>
  <c r="K10" i="1"/>
  <c r="T10" i="1"/>
  <c r="K11" i="1"/>
  <c r="T11" i="1"/>
  <c r="K12" i="1"/>
  <c r="E10" i="1"/>
  <c r="D5" i="1"/>
  <c r="E11" i="1"/>
  <c r="E12" i="1"/>
  <c r="E13" i="1"/>
  <c r="K14" i="1"/>
  <c r="T14" i="1"/>
  <c r="E14" i="1"/>
  <c r="K15" i="1"/>
  <c r="T15" i="1"/>
  <c r="K16" i="1"/>
  <c r="T16" i="1"/>
  <c r="K17" i="1"/>
  <c r="T17" i="1"/>
  <c r="K18" i="1"/>
  <c r="T18" i="1"/>
  <c r="K19" i="1"/>
  <c r="T19" i="1"/>
  <c r="D39" i="1"/>
  <c r="F10" i="1"/>
  <c r="F11" i="1"/>
  <c r="F12" i="1"/>
  <c r="F13" i="1"/>
  <c r="F14" i="1"/>
  <c r="F15" i="1"/>
  <c r="F16" i="1"/>
  <c r="F17" i="1"/>
  <c r="F18" i="1"/>
  <c r="F19" i="1"/>
  <c r="AB10" i="1"/>
  <c r="AB11" i="1"/>
  <c r="D153" i="1"/>
  <c r="AJ10" i="1"/>
  <c r="AJ11" i="1"/>
  <c r="AB14" i="1"/>
  <c r="AJ14" i="1"/>
  <c r="AB15" i="1"/>
  <c r="AJ15" i="1"/>
  <c r="AB16" i="1"/>
  <c r="AJ16" i="1"/>
  <c r="AB17" i="1"/>
  <c r="AJ17" i="1"/>
  <c r="AB18" i="1"/>
  <c r="AJ18" i="1"/>
  <c r="AB19" i="1"/>
  <c r="AJ19" i="1"/>
  <c r="K13" i="1"/>
  <c r="S35" i="1"/>
  <c r="S34" i="1"/>
  <c r="S33" i="1"/>
  <c r="S32" i="1"/>
  <c r="S31" i="1"/>
  <c r="S30" i="1"/>
  <c r="S29" i="1"/>
  <c r="S28" i="1"/>
  <c r="S27" i="1"/>
  <c r="S26" i="1"/>
  <c r="U25" i="1"/>
  <c r="T25" i="1"/>
  <c r="R35" i="1"/>
  <c r="R34" i="1"/>
  <c r="R33" i="1"/>
  <c r="R32" i="1"/>
  <c r="R31" i="1"/>
  <c r="R30" i="1"/>
  <c r="R29" i="1"/>
  <c r="R28" i="1"/>
  <c r="R27" i="1"/>
  <c r="R26" i="1"/>
  <c r="I19" i="1"/>
  <c r="I18" i="1"/>
  <c r="I17" i="1"/>
  <c r="I16" i="1"/>
  <c r="I15" i="1"/>
  <c r="I14" i="1"/>
  <c r="I13" i="1"/>
  <c r="I12" i="1"/>
  <c r="I11" i="1"/>
  <c r="I10" i="1"/>
  <c r="B35" i="1"/>
  <c r="B34" i="1"/>
  <c r="B33" i="1"/>
  <c r="B32" i="1"/>
  <c r="B31" i="1"/>
  <c r="B30" i="1"/>
  <c r="B29" i="1"/>
  <c r="B28" i="1"/>
  <c r="B27" i="1"/>
  <c r="B26" i="1"/>
  <c r="D243" i="1"/>
  <c r="D234" i="1"/>
  <c r="D235" i="1"/>
  <c r="D236" i="1"/>
  <c r="D237" i="1"/>
  <c r="D238" i="1"/>
  <c r="D239" i="1"/>
  <c r="D240" i="1"/>
  <c r="D241" i="1"/>
  <c r="D242" i="1"/>
  <c r="D233" i="1"/>
  <c r="CF90" i="2"/>
  <c r="CF91" i="2"/>
  <c r="CF92" i="2"/>
  <c r="CF93" i="2"/>
  <c r="CF94" i="2"/>
  <c r="CF95" i="2"/>
  <c r="CF96" i="2"/>
  <c r="CF97" i="2"/>
  <c r="CF98" i="2"/>
  <c r="CF99" i="2"/>
  <c r="CF100" i="2"/>
  <c r="CF101" i="2"/>
  <c r="CF102" i="2"/>
  <c r="CF103" i="2"/>
  <c r="CF104" i="2"/>
  <c r="CF105" i="2"/>
  <c r="CF106" i="2"/>
  <c r="CF107" i="2"/>
  <c r="CF108" i="2"/>
  <c r="CF109" i="2"/>
  <c r="CF110" i="2"/>
  <c r="F6" i="2"/>
  <c r="K8" i="2"/>
  <c r="F7" i="2"/>
  <c r="K9" i="2"/>
  <c r="J11" i="2"/>
  <c r="M4" i="1"/>
  <c r="F5" i="2"/>
  <c r="F8" i="2"/>
  <c r="F9" i="2"/>
  <c r="F10" i="2"/>
  <c r="F11" i="2"/>
  <c r="F12" i="2"/>
  <c r="F13" i="2"/>
  <c r="F4" i="2"/>
  <c r="T12" i="1"/>
  <c r="AB12" i="1"/>
  <c r="AJ12" i="1"/>
  <c r="T13" i="1"/>
  <c r="AB13" i="1"/>
  <c r="AJ13" i="1"/>
  <c r="AJ20" i="1"/>
  <c r="U4" i="2"/>
  <c r="AE4" i="2"/>
  <c r="U5" i="2"/>
  <c r="AE5" i="2"/>
  <c r="U6" i="2"/>
  <c r="R7" i="2"/>
  <c r="U7" i="2"/>
  <c r="AE8" i="2"/>
  <c r="AE9" i="2"/>
  <c r="AE10" i="2"/>
  <c r="AE11" i="2"/>
  <c r="AE12" i="2"/>
  <c r="AE13" i="2"/>
  <c r="AB20" i="1"/>
  <c r="G11" i="1"/>
  <c r="G12" i="1"/>
  <c r="G13" i="1"/>
  <c r="G14" i="1"/>
  <c r="G15" i="1"/>
  <c r="G16" i="1"/>
  <c r="G17" i="1"/>
  <c r="G18" i="1"/>
  <c r="G19" i="1"/>
  <c r="G10" i="1"/>
  <c r="T20" i="1"/>
  <c r="C19" i="2"/>
  <c r="C20" i="2"/>
  <c r="C23" i="2"/>
  <c r="C24" i="2"/>
  <c r="C25" i="2"/>
  <c r="C26" i="2"/>
  <c r="C27" i="2"/>
  <c r="C28" i="2"/>
  <c r="A20" i="2"/>
  <c r="A21" i="2"/>
  <c r="A22" i="2"/>
  <c r="A23" i="2"/>
  <c r="A24" i="2"/>
  <c r="A25" i="2"/>
  <c r="A26" i="2"/>
  <c r="A27" i="2"/>
  <c r="A28" i="2"/>
  <c r="A19" i="2"/>
  <c r="AC6" i="2"/>
  <c r="X5" i="2"/>
  <c r="X6" i="2"/>
  <c r="X7" i="2"/>
  <c r="X8" i="2"/>
  <c r="X9" i="2"/>
  <c r="X10" i="2"/>
  <c r="X11" i="2"/>
  <c r="X12" i="2"/>
  <c r="X13" i="2"/>
  <c r="X4" i="2"/>
  <c r="W6" i="2"/>
  <c r="W7" i="2"/>
  <c r="W8" i="2"/>
  <c r="W9" i="2"/>
  <c r="W10" i="2"/>
  <c r="W11" i="2"/>
  <c r="W12" i="2"/>
  <c r="W13" i="2"/>
  <c r="D8" i="2"/>
  <c r="D9" i="2"/>
  <c r="D10" i="2"/>
  <c r="D11" i="2"/>
  <c r="D12" i="2"/>
  <c r="D13" i="2"/>
  <c r="C7" i="2"/>
  <c r="C8" i="2"/>
  <c r="C9" i="2"/>
  <c r="C10" i="2"/>
  <c r="C11" i="2"/>
  <c r="C12" i="2"/>
  <c r="C13" i="2"/>
  <c r="L4" i="2"/>
  <c r="M4" i="2"/>
  <c r="L5" i="2"/>
  <c r="M5" i="2"/>
  <c r="L6" i="2"/>
  <c r="M6" i="2"/>
  <c r="M7" i="2"/>
  <c r="L7" i="2"/>
  <c r="M8" i="2"/>
  <c r="L8" i="2"/>
  <c r="M9" i="2"/>
  <c r="L9" i="2"/>
  <c r="M10" i="2"/>
  <c r="L10" i="2"/>
  <c r="M11" i="2"/>
  <c r="L11" i="2"/>
  <c r="M12" i="2"/>
  <c r="L12" i="2"/>
  <c r="M13" i="2"/>
  <c r="Z4" i="2"/>
  <c r="Z5" i="2"/>
  <c r="Z6" i="2"/>
  <c r="Z7" i="2"/>
  <c r="Z8" i="2"/>
  <c r="Z9" i="2"/>
  <c r="Z10" i="2"/>
  <c r="Z11" i="2"/>
  <c r="Z12" i="2"/>
  <c r="Z13" i="2"/>
  <c r="Z3" i="2"/>
  <c r="J17" i="2"/>
  <c r="N6" i="2"/>
  <c r="I8" i="2"/>
  <c r="M18" i="2"/>
  <c r="M17" i="2"/>
  <c r="O7" i="2"/>
  <c r="I9" i="2"/>
  <c r="L18" i="2"/>
  <c r="L17" i="2"/>
  <c r="Y4" i="2"/>
  <c r="Y5" i="2"/>
  <c r="Y6" i="2"/>
  <c r="Y7" i="2"/>
  <c r="Y8" i="2"/>
  <c r="Y9" i="2"/>
  <c r="Y10" i="2"/>
  <c r="Y11" i="2"/>
  <c r="Y12" i="2"/>
  <c r="Y13" i="2"/>
  <c r="Y3" i="2"/>
  <c r="I17" i="2"/>
  <c r="U3" i="2"/>
  <c r="T3" i="2"/>
  <c r="N5" i="2"/>
  <c r="O5" i="2"/>
  <c r="O6" i="2"/>
  <c r="N7" i="2"/>
  <c r="N8" i="2"/>
  <c r="O8" i="2"/>
  <c r="N9" i="2"/>
  <c r="O9" i="2"/>
  <c r="N10" i="2"/>
  <c r="O10" i="2"/>
  <c r="N11" i="2"/>
  <c r="O11" i="2"/>
  <c r="N12" i="2"/>
  <c r="O12" i="2"/>
  <c r="N13" i="2"/>
  <c r="O13" i="2"/>
  <c r="O4" i="2"/>
  <c r="N4" i="2"/>
  <c r="L13" i="2"/>
  <c r="J4" i="2"/>
  <c r="K9" i="1"/>
  <c r="J20" i="1"/>
  <c r="K20" i="1"/>
  <c r="K4" i="2"/>
  <c r="N20" i="1"/>
  <c r="O17" i="2" a="1"/>
  <c r="P17" i="2"/>
  <c r="O17" i="2"/>
  <c r="P18" i="2"/>
  <c r="O18" i="2"/>
  <c r="R17" i="2" a="1"/>
  <c r="S17" i="2"/>
  <c r="R17" i="2"/>
  <c r="R18" i="2"/>
  <c r="S18" i="2"/>
  <c r="P36" i="1"/>
  <c r="Y31" i="1"/>
  <c r="Y32" i="1"/>
  <c r="Y33" i="1"/>
  <c r="Y34" i="1"/>
  <c r="Y35" i="1"/>
  <c r="C64" i="1"/>
  <c r="C67" i="1"/>
  <c r="C68" i="1"/>
  <c r="C69" i="1"/>
  <c r="C70" i="1"/>
  <c r="C71" i="1"/>
  <c r="C72" i="1"/>
  <c r="C63" i="1"/>
  <c r="C120" i="1"/>
  <c r="C121" i="1"/>
  <c r="C124" i="1"/>
  <c r="C125" i="1"/>
  <c r="C126" i="1"/>
  <c r="C127" i="1"/>
  <c r="C128" i="1"/>
  <c r="C129" i="1"/>
  <c r="D42" i="1"/>
  <c r="D51" i="1"/>
  <c r="D50" i="1"/>
  <c r="D49" i="1"/>
  <c r="D48" i="1"/>
  <c r="D47" i="1"/>
  <c r="D46" i="1"/>
  <c r="D43" i="1"/>
  <c r="U31" i="1"/>
  <c r="U32" i="1"/>
  <c r="U33" i="1"/>
  <c r="U34" i="1"/>
  <c r="U35" i="1"/>
  <c r="V18" i="2" a="1"/>
  <c r="W18" i="2"/>
  <c r="AB6" i="2"/>
  <c r="AE6" i="2"/>
  <c r="C21" i="2"/>
  <c r="V18" i="2"/>
  <c r="AC7" i="2"/>
  <c r="AE7" i="2"/>
  <c r="C22" i="2"/>
  <c r="C30" i="2"/>
  <c r="AD6" i="2"/>
  <c r="G21" i="2"/>
  <c r="AD7" i="2"/>
  <c r="G22" i="2"/>
  <c r="AB27" i="1"/>
  <c r="AB28" i="1"/>
  <c r="AB29" i="1"/>
  <c r="AB30" i="1"/>
  <c r="T31" i="1"/>
  <c r="W31" i="1"/>
  <c r="Z31" i="1"/>
  <c r="AB31" i="1"/>
  <c r="T32" i="1"/>
  <c r="W32" i="1"/>
  <c r="Z32" i="1"/>
  <c r="AB32" i="1"/>
  <c r="T33" i="1"/>
  <c r="W33" i="1"/>
  <c r="Z33" i="1"/>
  <c r="AB33" i="1"/>
  <c r="T34" i="1"/>
  <c r="W34" i="1"/>
  <c r="Z34" i="1"/>
  <c r="AB34" i="1"/>
  <c r="T35" i="1"/>
  <c r="W35" i="1"/>
  <c r="Z35" i="1"/>
  <c r="AB35" i="1"/>
  <c r="AA29" i="1"/>
  <c r="AA30" i="1"/>
  <c r="AA31" i="1"/>
  <c r="AA32" i="1"/>
  <c r="AA33" i="1"/>
  <c r="AA34" i="1"/>
  <c r="AA35" i="1"/>
  <c r="V26" i="1"/>
  <c r="V27" i="1"/>
  <c r="V28" i="1"/>
  <c r="V29" i="1"/>
  <c r="V30" i="1"/>
  <c r="V31" i="1"/>
  <c r="V32" i="1"/>
  <c r="V33" i="1"/>
  <c r="V34" i="1"/>
  <c r="V35" i="1"/>
  <c r="D231" i="1"/>
  <c r="C188" i="1"/>
  <c r="D245" i="1"/>
  <c r="C189" i="1"/>
  <c r="D246" i="1"/>
  <c r="C190" i="1"/>
  <c r="D247" i="1"/>
  <c r="C191" i="1"/>
  <c r="D248" i="1"/>
  <c r="C192" i="1"/>
  <c r="D249" i="1"/>
  <c r="C193" i="1"/>
  <c r="D250" i="1"/>
  <c r="C194" i="1"/>
  <c r="D251" i="1"/>
  <c r="C195" i="1"/>
  <c r="D252" i="1"/>
  <c r="C196" i="1"/>
  <c r="D253" i="1"/>
  <c r="C187" i="1"/>
  <c r="D244" i="1"/>
  <c r="D117" i="1"/>
  <c r="C232" i="1"/>
  <c r="D154" i="1"/>
  <c r="D218" i="1"/>
  <c r="D219" i="1"/>
  <c r="D220" i="1"/>
  <c r="D221" i="1"/>
  <c r="D222" i="1"/>
  <c r="D223" i="1"/>
  <c r="D224" i="1"/>
  <c r="D225" i="1"/>
  <c r="D226" i="1"/>
  <c r="D227" i="1"/>
  <c r="D228" i="1"/>
  <c r="D207" i="1"/>
  <c r="D208" i="1"/>
  <c r="D209" i="1"/>
  <c r="D210" i="1"/>
  <c r="D211" i="1"/>
  <c r="D212" i="1"/>
  <c r="D213" i="1"/>
  <c r="D214" i="1"/>
  <c r="D215" i="1"/>
  <c r="D216" i="1"/>
  <c r="D217" i="1"/>
  <c r="D230" i="1"/>
  <c r="D150" i="1"/>
  <c r="C62" i="1"/>
  <c r="B30" i="2"/>
  <c r="R20" i="1"/>
  <c r="S10" i="1"/>
  <c r="S11" i="1"/>
  <c r="S12" i="1"/>
  <c r="S13" i="1"/>
  <c r="S14" i="1"/>
  <c r="S15" i="1"/>
  <c r="S16" i="1"/>
  <c r="S17" i="1"/>
  <c r="S18" i="1"/>
  <c r="S19" i="1"/>
  <c r="S20" i="1"/>
  <c r="W20" i="1"/>
  <c r="CF7" i="2"/>
  <c r="CF17" i="2"/>
  <c r="X10" i="1"/>
  <c r="CF8" i="2"/>
  <c r="CF18" i="2"/>
  <c r="X11" i="1"/>
  <c r="CF9" i="2"/>
  <c r="CF19" i="2"/>
  <c r="X12" i="1"/>
  <c r="CF10" i="2"/>
  <c r="CF20" i="2"/>
  <c r="X13" i="1"/>
  <c r="CF11" i="2"/>
  <c r="CF21" i="2"/>
  <c r="X14" i="1"/>
  <c r="CF12" i="2"/>
  <c r="CF22" i="2"/>
  <c r="X15" i="1"/>
  <c r="CF13" i="2"/>
  <c r="CF23" i="2"/>
  <c r="X16" i="1"/>
  <c r="CF14" i="2"/>
  <c r="CF24" i="2"/>
  <c r="X17" i="1"/>
  <c r="CF15" i="2"/>
  <c r="CF25" i="2"/>
  <c r="X18" i="1"/>
  <c r="CF16" i="2"/>
  <c r="CF26" i="2"/>
  <c r="X19" i="1"/>
  <c r="X20" i="1"/>
  <c r="CF27" i="2"/>
  <c r="AE20" i="1"/>
  <c r="Z20" i="1"/>
  <c r="AA10" i="1"/>
  <c r="AA11" i="1"/>
  <c r="AA12" i="1"/>
  <c r="AA13" i="1"/>
  <c r="AA14" i="1"/>
  <c r="AA15" i="1"/>
  <c r="AA16" i="1"/>
  <c r="AA17" i="1"/>
  <c r="AA18" i="1"/>
  <c r="AA19" i="1"/>
  <c r="AA20" i="1"/>
  <c r="CF54" i="2"/>
  <c r="U7" i="1"/>
  <c r="AH20" i="1"/>
  <c r="AI10" i="1"/>
  <c r="AI11" i="1"/>
  <c r="AI12" i="1"/>
  <c r="AI13" i="1"/>
  <c r="AI14" i="1"/>
  <c r="AI15" i="1"/>
  <c r="AI16" i="1"/>
  <c r="AI17" i="1"/>
  <c r="AI18" i="1"/>
  <c r="AI19" i="1"/>
  <c r="AI20" i="1"/>
  <c r="AL20" i="1"/>
  <c r="AM10" i="1"/>
  <c r="AM11" i="1"/>
  <c r="AM12" i="1"/>
  <c r="AM13" i="1"/>
  <c r="AM14" i="1"/>
  <c r="AM15" i="1"/>
  <c r="AM16" i="1"/>
  <c r="AM17" i="1"/>
  <c r="AM18" i="1"/>
  <c r="AM19" i="1"/>
  <c r="AM20" i="1"/>
  <c r="AN20" i="1"/>
  <c r="C122" i="1"/>
  <c r="C123" i="1"/>
  <c r="C119" i="1"/>
  <c r="D41" i="1"/>
  <c r="D52" i="1"/>
  <c r="D61" i="1"/>
  <c r="D60" i="1"/>
  <c r="D59" i="1"/>
  <c r="D58" i="1"/>
  <c r="D57" i="1"/>
  <c r="D56" i="1"/>
  <c r="D45" i="1"/>
  <c r="D55" i="1"/>
  <c r="D44" i="1"/>
  <c r="D54" i="1"/>
  <c r="D53" i="1"/>
  <c r="C66" i="1"/>
  <c r="C65" i="1"/>
  <c r="AF20" i="1"/>
  <c r="CF82" i="2"/>
  <c r="C155" i="1"/>
  <c r="D264" i="1"/>
  <c r="C118" i="1"/>
  <c r="D40" i="1"/>
  <c r="D93" i="1"/>
  <c r="D94" i="1"/>
  <c r="D95" i="1"/>
  <c r="D96" i="1"/>
  <c r="D97" i="1"/>
  <c r="D98" i="1"/>
  <c r="D99" i="1"/>
  <c r="D100" i="1"/>
  <c r="D101" i="1"/>
  <c r="D102" i="1"/>
  <c r="D103" i="1"/>
  <c r="D114" i="1"/>
  <c r="D116" i="1"/>
</calcChain>
</file>

<file path=xl/sharedStrings.xml><?xml version="1.0" encoding="utf-8"?>
<sst xmlns="http://schemas.openxmlformats.org/spreadsheetml/2006/main" count="472" uniqueCount="239">
  <si>
    <t>A</t>
  </si>
  <si>
    <t>B</t>
  </si>
  <si>
    <t>C</t>
  </si>
  <si>
    <t>costanti Antoine :ln, P[mmHg], T[°C]</t>
  </si>
  <si>
    <t xml:space="preserve">Pressure </t>
  </si>
  <si>
    <t>[psi]</t>
  </si>
  <si>
    <t>[Torr]</t>
  </si>
  <si>
    <t>FEED</t>
  </si>
  <si>
    <t>n.sostanze</t>
  </si>
  <si>
    <t>iC5</t>
  </si>
  <si>
    <t>C4</t>
  </si>
  <si>
    <t>C3</t>
  </si>
  <si>
    <t>iC4</t>
  </si>
  <si>
    <t>C5</t>
  </si>
  <si>
    <t>q=</t>
  </si>
  <si>
    <t>PM</t>
  </si>
  <si>
    <t>lb/h</t>
  </si>
  <si>
    <t>Xf [mol/mol]</t>
  </si>
  <si>
    <t>moli/h</t>
  </si>
  <si>
    <t>HK nel D</t>
  </si>
  <si>
    <t>LK nel B</t>
  </si>
  <si>
    <t>X[wt%]</t>
  </si>
  <si>
    <t>DISTILLATE</t>
  </si>
  <si>
    <t>T=</t>
  </si>
  <si>
    <t>Y=xi*Ki</t>
  </si>
  <si>
    <t>XD [wt%]</t>
  </si>
  <si>
    <t>mol/h</t>
  </si>
  <si>
    <t>XD [mol/mol]</t>
  </si>
  <si>
    <t>P0*x/P</t>
  </si>
  <si>
    <t>bilancio di massa</t>
  </si>
  <si>
    <t>riduttore</t>
  </si>
  <si>
    <t>PerB1</t>
  </si>
  <si>
    <t>perB2</t>
  </si>
  <si>
    <t>D</t>
  </si>
  <si>
    <t>da togliere a D</t>
  </si>
  <si>
    <t>da toglier a B</t>
  </si>
  <si>
    <t>B1*</t>
  </si>
  <si>
    <t>B*</t>
  </si>
  <si>
    <t>B2*</t>
  </si>
  <si>
    <t>LK</t>
  </si>
  <si>
    <t>HK</t>
  </si>
  <si>
    <t>inv(A)</t>
  </si>
  <si>
    <t>trasp(inv(A))</t>
  </si>
  <si>
    <t>X=B*trasp(inv(A))</t>
  </si>
  <si>
    <t>posizione</t>
  </si>
  <si>
    <t>valore</t>
  </si>
  <si>
    <t>sumD</t>
  </si>
  <si>
    <t>sottD</t>
  </si>
  <si>
    <t>Ridultato in portata massica di D e B</t>
  </si>
  <si>
    <r>
      <t>X</t>
    </r>
    <r>
      <rPr>
        <b/>
        <vertAlign val="subscript"/>
        <sz val="10"/>
        <rFont val="Calibri"/>
        <family val="2"/>
        <scheme val="minor"/>
      </rPr>
      <t>f</t>
    </r>
    <r>
      <rPr>
        <b/>
        <sz val="10"/>
        <rFont val="Calibri"/>
        <family val="2"/>
        <scheme val="minor"/>
      </rPr>
      <t xml:space="preserve"> [wt%]</t>
    </r>
  </si>
  <si>
    <t>Teb</t>
  </si>
  <si>
    <t>C5/14,696*760</t>
  </si>
  <si>
    <t>in-k</t>
  </si>
  <si>
    <t>Tmax</t>
  </si>
  <si>
    <t>Tmin</t>
  </si>
  <si>
    <t>T*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</si>
  <si>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</si>
  <si>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</si>
  <si>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</si>
  <si>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</si>
  <si>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</si>
  <si>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</si>
  <si>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</si>
  <si>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</si>
  <si>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</si>
  <si>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</si>
  <si>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</si>
  <si>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</si>
  <si>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</si>
  <si>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</si>
  <si>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</si>
  <si>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</si>
  <si>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</si>
  <si>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y9</t>
  </si>
  <si>
    <t>y8</t>
  </si>
  <si>
    <t>y10</t>
  </si>
  <si>
    <t>sommaY</t>
  </si>
  <si>
    <t>RESIDUO</t>
  </si>
  <si>
    <t>TABELLA CPMEDI</t>
  </si>
  <si>
    <t>liquido</t>
  </si>
  <si>
    <t>vapore</t>
  </si>
  <si>
    <t>H</t>
  </si>
  <si>
    <t>Teb=</t>
  </si>
  <si>
    <t>iterazioni per Teb del distillato</t>
  </si>
  <si>
    <t xml:space="preserve">iterazioni per Tdew V1 </t>
  </si>
  <si>
    <t>Tdew di V1=</t>
  </si>
  <si>
    <t>V1</t>
  </si>
  <si>
    <t>Reffettivo</t>
  </si>
  <si>
    <t>L/D</t>
  </si>
  <si>
    <t>XB [mol/mol]</t>
  </si>
  <si>
    <t>Y [mol/mol]</t>
  </si>
  <si>
    <t>X=Y/Ki</t>
  </si>
  <si>
    <t>Y*P/P0</t>
  </si>
  <si>
    <t>CONDIZIONI INIZIALI</t>
  </si>
  <si>
    <t>h [Kj/mole]</t>
  </si>
  <si>
    <t>L0</t>
  </si>
  <si>
    <t>Trif</t>
  </si>
  <si>
    <t>Xf molare</t>
  </si>
  <si>
    <t>Xmol</t>
  </si>
  <si>
    <t>XLK/XHK</t>
  </si>
  <si>
    <t>T</t>
  </si>
  <si>
    <t>Vtot</t>
  </si>
  <si>
    <t>V2</t>
  </si>
  <si>
    <t>V3</t>
  </si>
  <si>
    <t>V4</t>
  </si>
  <si>
    <t>V5</t>
  </si>
  <si>
    <t>Ltot</t>
  </si>
  <si>
    <t>L1</t>
  </si>
  <si>
    <t>L2</t>
  </si>
  <si>
    <t>L3</t>
  </si>
  <si>
    <t>L4</t>
  </si>
  <si>
    <t>L5</t>
  </si>
  <si>
    <t>K1</t>
  </si>
  <si>
    <t>K2</t>
  </si>
  <si>
    <t>K3</t>
  </si>
  <si>
    <t>K4</t>
  </si>
  <si>
    <t>K5</t>
  </si>
  <si>
    <t>h1</t>
  </si>
  <si>
    <t>h2</t>
  </si>
  <si>
    <t>h3</t>
  </si>
  <si>
    <t>h4</t>
  </si>
  <si>
    <t>h5</t>
  </si>
  <si>
    <t>H1</t>
  </si>
  <si>
    <t>H2</t>
  </si>
  <si>
    <t>H3</t>
  </si>
  <si>
    <t>H4</t>
  </si>
  <si>
    <t>H5</t>
  </si>
  <si>
    <t>xLK/xHK</t>
  </si>
  <si>
    <t>Tpiatto+1</t>
  </si>
  <si>
    <t>Vsuc.tot</t>
  </si>
  <si>
    <t>Vsuc1</t>
  </si>
  <si>
    <t>Vsuc2</t>
  </si>
  <si>
    <t>Vsuc3</t>
  </si>
  <si>
    <t>Vsuc4</t>
  </si>
  <si>
    <t>Vsuc5</t>
  </si>
  <si>
    <t>ysuc1</t>
  </si>
  <si>
    <t>ysuc2</t>
  </si>
  <si>
    <t>ysuc3</t>
  </si>
  <si>
    <t>ysuc4</t>
  </si>
  <si>
    <t>ysuc5</t>
  </si>
  <si>
    <t>L6</t>
  </si>
  <si>
    <t>L7</t>
  </si>
  <si>
    <t>L8</t>
  </si>
  <si>
    <t>L9</t>
  </si>
  <si>
    <t>L10</t>
  </si>
  <si>
    <t>K6</t>
  </si>
  <si>
    <t>K7</t>
  </si>
  <si>
    <t>K8</t>
  </si>
  <si>
    <t>K9</t>
  </si>
  <si>
    <t>K10</t>
  </si>
  <si>
    <t>h6</t>
  </si>
  <si>
    <t>h7</t>
  </si>
  <si>
    <t>h8</t>
  </si>
  <si>
    <t>h9</t>
  </si>
  <si>
    <t>h10</t>
  </si>
  <si>
    <t>H6</t>
  </si>
  <si>
    <t>H7</t>
  </si>
  <si>
    <t>H8</t>
  </si>
  <si>
    <t>H9</t>
  </si>
  <si>
    <t>H10</t>
  </si>
  <si>
    <t>Vsuc6</t>
  </si>
  <si>
    <t>Vsuc7</t>
  </si>
  <si>
    <t>Vsuc8</t>
  </si>
  <si>
    <t>Vsuc9</t>
  </si>
  <si>
    <t>Vsuc10</t>
  </si>
  <si>
    <t>ysuc6</t>
  </si>
  <si>
    <t>ysuc7</t>
  </si>
  <si>
    <t>ysuc8</t>
  </si>
  <si>
    <t>ysuc9</t>
  </si>
  <si>
    <t>ysuc10</t>
  </si>
  <si>
    <t>V6</t>
  </si>
  <si>
    <t>V7</t>
  </si>
  <si>
    <t>V8</t>
  </si>
  <si>
    <t>V9</t>
  </si>
  <si>
    <t>V10</t>
  </si>
  <si>
    <t>htot</t>
  </si>
  <si>
    <t>Hgas_tot</t>
  </si>
  <si>
    <t>H+h</t>
  </si>
  <si>
    <t>Xcalc1</t>
  </si>
  <si>
    <t>Xcalc2</t>
  </si>
  <si>
    <t>Xcalc3</t>
  </si>
  <si>
    <t>Xcalc4</t>
  </si>
  <si>
    <t>Xcalc5</t>
  </si>
  <si>
    <t>Xcalc6</t>
  </si>
  <si>
    <t>Xcalc7</t>
  </si>
  <si>
    <t>Xcalc8</t>
  </si>
  <si>
    <t>Xcalc9</t>
  </si>
  <si>
    <t>Xcalc10</t>
  </si>
  <si>
    <t>calc. dal dwe point</t>
  </si>
  <si>
    <t>L piatto succ</t>
  </si>
  <si>
    <t>Xtot</t>
  </si>
  <si>
    <t>hL+hD+Qc-V=0</t>
  </si>
  <si>
    <t>piatti testa</t>
  </si>
  <si>
    <t>iterazioni per Teb del Ribollitore</t>
  </si>
  <si>
    <t>esce dal piatto</t>
  </si>
  <si>
    <t>conv kg lb</t>
  </si>
  <si>
    <t>Riduttore</t>
  </si>
  <si>
    <t>F</t>
  </si>
  <si>
    <t>iterazioni per Teb del Feed</t>
  </si>
  <si>
    <t>piatti coda</t>
  </si>
  <si>
    <t>Ycalc1</t>
  </si>
  <si>
    <t>Ycalc2</t>
  </si>
  <si>
    <t>Ycalc3</t>
  </si>
  <si>
    <t>Ycalc4</t>
  </si>
  <si>
    <t>Ycalc5</t>
  </si>
  <si>
    <t>Ycalc6</t>
  </si>
  <si>
    <t>Ycalc7</t>
  </si>
  <si>
    <t>Ycalc8</t>
  </si>
  <si>
    <t>Ycalc9</t>
  </si>
  <si>
    <t>Ycalc10</t>
  </si>
  <si>
    <t>V piatto succ</t>
  </si>
  <si>
    <t>HV+hB-hL-Qr=0</t>
  </si>
  <si>
    <t>(ipotizzo Vtot)</t>
  </si>
  <si>
    <t>le y le conosco dal calcolo della teb del piatto precedente</t>
  </si>
  <si>
    <t>Lpiatto</t>
  </si>
  <si>
    <t>Ldel piatto succ.ricavati dal bilancio di massa una volta ipotizzata V</t>
  </si>
  <si>
    <t>yLK/yHK</t>
  </si>
  <si>
    <t>Qc</t>
  </si>
  <si>
    <t>Qr</t>
  </si>
  <si>
    <t>(temperatura di riferimento per l'entalpie iniziali)</t>
  </si>
  <si>
    <t>Fl</t>
  </si>
  <si>
    <t>alim</t>
  </si>
  <si>
    <t>testa</t>
  </si>
  <si>
    <t>coda</t>
  </si>
  <si>
    <t>E</t>
  </si>
  <si>
    <t>alfa</t>
  </si>
  <si>
    <t>dk</t>
  </si>
  <si>
    <t>bk</t>
  </si>
  <si>
    <t>dk+1calc</t>
  </si>
  <si>
    <t>bk+1calc</t>
  </si>
  <si>
    <t>dsk+1scelto</t>
  </si>
  <si>
    <t>la formula da rincollare per inizializzare è =Foglio2!G19</t>
  </si>
  <si>
    <t>($C26*(D$40-$C$22)+$E26)*D63</t>
  </si>
  <si>
    <t>range tolleranza+-</t>
  </si>
  <si>
    <r>
      <t>VERIFICA SUL PIATTO DI ALIM</t>
    </r>
    <r>
      <rPr>
        <b/>
        <sz val="8"/>
        <rFont val="Calibri"/>
        <family val="2"/>
        <scheme val="minor"/>
      </rPr>
      <t>.E=(fi+Ltesta-Lcoda)</t>
    </r>
  </si>
  <si>
    <t>incolare qui il verde .mol/h</t>
  </si>
  <si>
    <t>cp</t>
  </si>
  <si>
    <t>bilancio termico sul condensatore [KJ/h]</t>
  </si>
  <si>
    <t>bilancio termico sul ribollitore (calore da fornire)[KJ/h]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</si>
</sst>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000000000000000"/>
    <numFmt numFmtId="167" formatCode="0.000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8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1" fillId="4" borderId="9" xfId="0" applyFont="1" applyFill="1" applyBorder="1" applyAlignment="1">
      <alignment horizontal="right"/>
    </xf>
    <xf numFmtId="0" fontId="1" fillId="11" borderId="10" xfId="0" applyFont="1" applyFill="1" applyBorder="1"/>
    <xf numFmtId="0" fontId="0" fillId="15" borderId="7" xfId="0" applyFill="1" applyBorder="1"/>
    <xf numFmtId="0" fontId="0" fillId="15" borderId="8" xfId="0" applyFill="1" applyBorder="1"/>
    <xf numFmtId="0" fontId="0" fillId="18" borderId="0" xfId="0" applyFill="1"/>
    <xf numFmtId="0" fontId="0" fillId="19" borderId="0" xfId="0" applyFill="1"/>
    <xf numFmtId="164" fontId="0" fillId="0" borderId="0" xfId="0" applyNumberFormat="1"/>
    <xf numFmtId="0" fontId="0" fillId="0" borderId="0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19" borderId="13" xfId="0" applyFill="1" applyBorder="1"/>
    <xf numFmtId="0" fontId="0" fillId="19" borderId="16" xfId="0" applyFill="1" applyBorder="1"/>
    <xf numFmtId="0" fontId="0" fillId="19" borderId="18" xfId="0" applyFill="1" applyBorder="1"/>
    <xf numFmtId="0" fontId="0" fillId="20" borderId="14" xfId="0" applyFill="1" applyBorder="1"/>
    <xf numFmtId="0" fontId="0" fillId="20" borderId="15" xfId="0" applyFill="1" applyBorder="1"/>
    <xf numFmtId="0" fontId="2" fillId="6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1" fillId="9" borderId="0" xfId="0" applyFont="1" applyFill="1"/>
    <xf numFmtId="0" fontId="1" fillId="14" borderId="0" xfId="0" applyFont="1" applyFill="1"/>
    <xf numFmtId="0" fontId="1" fillId="0" borderId="0" xfId="0" applyFont="1"/>
    <xf numFmtId="0" fontId="1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1" fillId="10" borderId="4" xfId="0" applyFont="1" applyFill="1" applyBorder="1"/>
    <xf numFmtId="0" fontId="1" fillId="10" borderId="5" xfId="0" applyFont="1" applyFill="1" applyBorder="1"/>
    <xf numFmtId="1" fontId="1" fillId="10" borderId="6" xfId="0" applyNumberFormat="1" applyFont="1" applyFill="1" applyBorder="1"/>
    <xf numFmtId="0" fontId="1" fillId="12" borderId="9" xfId="0" applyFont="1" applyFill="1" applyBorder="1"/>
    <xf numFmtId="0" fontId="1" fillId="13" borderId="10" xfId="0" applyFont="1" applyFill="1" applyBorder="1"/>
    <xf numFmtId="0" fontId="1" fillId="15" borderId="3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3" borderId="0" xfId="0" applyFont="1" applyFill="1" applyBorder="1" applyAlignment="1"/>
    <xf numFmtId="0" fontId="1" fillId="3" borderId="0" xfId="0" applyFont="1" applyFill="1" applyBorder="1" applyAlignment="1">
      <alignment horizontal="center"/>
    </xf>
    <xf numFmtId="0" fontId="1" fillId="15" borderId="8" xfId="0" applyFont="1" applyFill="1" applyBorder="1"/>
    <xf numFmtId="0" fontId="1" fillId="16" borderId="11" xfId="0" applyFont="1" applyFill="1" applyBorder="1" applyAlignment="1">
      <alignment horizontal="center"/>
    </xf>
    <xf numFmtId="0" fontId="1" fillId="17" borderId="11" xfId="0" applyFont="1" applyFill="1" applyBorder="1" applyAlignment="1">
      <alignment horizontal="center"/>
    </xf>
    <xf numFmtId="0" fontId="1" fillId="17" borderId="12" xfId="0" applyFont="1" applyFill="1" applyBorder="1" applyAlignment="1">
      <alignment horizontal="center"/>
    </xf>
    <xf numFmtId="0" fontId="1" fillId="9" borderId="0" xfId="0" applyFont="1" applyFill="1" applyBorder="1"/>
    <xf numFmtId="0" fontId="1" fillId="14" borderId="0" xfId="0" applyFont="1" applyFill="1" applyAlignment="1">
      <alignment horizontal="center"/>
    </xf>
    <xf numFmtId="165" fontId="1" fillId="14" borderId="0" xfId="0" applyNumberFormat="1" applyFont="1" applyFill="1" applyAlignment="1">
      <alignment horizontal="center"/>
    </xf>
    <xf numFmtId="0" fontId="1" fillId="9" borderId="0" xfId="0" applyFont="1" applyFill="1" applyAlignment="1">
      <alignment horizontal="center"/>
    </xf>
    <xf numFmtId="166" fontId="0" fillId="0" borderId="0" xfId="0" applyNumberFormat="1"/>
    <xf numFmtId="0" fontId="0" fillId="21" borderId="0" xfId="0" applyFill="1"/>
    <xf numFmtId="0" fontId="1" fillId="22" borderId="0" xfId="0" applyFont="1" applyFill="1"/>
    <xf numFmtId="0" fontId="1" fillId="9" borderId="0" xfId="0" applyFont="1" applyFill="1" applyBorder="1" applyAlignment="1">
      <alignment horizontal="center"/>
    </xf>
    <xf numFmtId="0" fontId="0" fillId="21" borderId="0" xfId="0" applyFont="1" applyFill="1"/>
    <xf numFmtId="166" fontId="1" fillId="14" borderId="0" xfId="0" applyNumberFormat="1" applyFont="1" applyFill="1" applyAlignment="1">
      <alignment horizontal="center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4" borderId="16" xfId="0" applyFont="1" applyFill="1" applyBorder="1"/>
    <xf numFmtId="0" fontId="1" fillId="4" borderId="17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right"/>
    </xf>
    <xf numFmtId="0" fontId="2" fillId="6" borderId="17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right"/>
    </xf>
    <xf numFmtId="0" fontId="2" fillId="7" borderId="17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right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  <xf numFmtId="0" fontId="1" fillId="2" borderId="16" xfId="0" applyFont="1" applyFill="1" applyBorder="1"/>
    <xf numFmtId="0" fontId="1" fillId="2" borderId="0" xfId="0" applyFont="1" applyFill="1" applyBorder="1"/>
    <xf numFmtId="0" fontId="1" fillId="2" borderId="17" xfId="0" applyFont="1" applyFill="1" applyBorder="1"/>
    <xf numFmtId="0" fontId="1" fillId="18" borderId="10" xfId="0" applyFont="1" applyFill="1" applyBorder="1"/>
    <xf numFmtId="0" fontId="1" fillId="23" borderId="9" xfId="0" applyFont="1" applyFill="1" applyBorder="1" applyAlignment="1">
      <alignment horizontal="right"/>
    </xf>
    <xf numFmtId="0" fontId="1" fillId="15" borderId="2" xfId="0" applyFont="1" applyFill="1" applyBorder="1" applyAlignment="1">
      <alignment horizontal="center"/>
    </xf>
    <xf numFmtId="0" fontId="1" fillId="15" borderId="0" xfId="0" applyFont="1" applyFill="1" applyBorder="1"/>
    <xf numFmtId="0" fontId="1" fillId="16" borderId="21" xfId="0" applyFont="1" applyFill="1" applyBorder="1" applyAlignment="1">
      <alignment horizontal="center"/>
    </xf>
    <xf numFmtId="0" fontId="1" fillId="17" borderId="21" xfId="0" applyFont="1" applyFill="1" applyBorder="1" applyAlignment="1">
      <alignment horizontal="center"/>
    </xf>
    <xf numFmtId="0" fontId="1" fillId="17" borderId="22" xfId="0" applyFont="1" applyFill="1" applyBorder="1" applyAlignment="1">
      <alignment horizontal="center"/>
    </xf>
    <xf numFmtId="0" fontId="1" fillId="3" borderId="13" xfId="0" applyFont="1" applyFill="1" applyBorder="1"/>
    <xf numFmtId="0" fontId="1" fillId="3" borderId="14" xfId="0" applyFont="1" applyFill="1" applyBorder="1"/>
    <xf numFmtId="0" fontId="1" fillId="3" borderId="15" xfId="0" applyFont="1" applyFill="1" applyBorder="1"/>
    <xf numFmtId="0" fontId="1" fillId="3" borderId="16" xfId="0" applyFont="1" applyFill="1" applyBorder="1"/>
    <xf numFmtId="0" fontId="1" fillId="3" borderId="17" xfId="0" applyFont="1" applyFill="1" applyBorder="1" applyAlignment="1">
      <alignment horizontal="center"/>
    </xf>
    <xf numFmtId="0" fontId="1" fillId="3" borderId="16" xfId="0" applyFont="1" applyFill="1" applyBorder="1" applyAlignment="1"/>
    <xf numFmtId="0" fontId="1" fillId="3" borderId="17" xfId="0" applyFont="1" applyFill="1" applyBorder="1" applyAlignment="1"/>
    <xf numFmtId="165" fontId="2" fillId="6" borderId="16" xfId="0" applyNumberFormat="1" applyFont="1" applyFill="1" applyBorder="1" applyAlignment="1">
      <alignment horizontal="center"/>
    </xf>
    <xf numFmtId="165" fontId="2" fillId="7" borderId="16" xfId="0" applyNumberFormat="1" applyFont="1" applyFill="1" applyBorder="1" applyAlignment="1">
      <alignment horizontal="center"/>
    </xf>
    <xf numFmtId="165" fontId="2" fillId="7" borderId="18" xfId="0" applyNumberFormat="1" applyFont="1" applyFill="1" applyBorder="1" applyAlignment="1">
      <alignment horizontal="center"/>
    </xf>
    <xf numFmtId="0" fontId="1" fillId="21" borderId="0" xfId="0" applyFont="1" applyFill="1"/>
    <xf numFmtId="0" fontId="1" fillId="16" borderId="0" xfId="0" applyFont="1" applyFill="1"/>
    <xf numFmtId="0" fontId="1" fillId="3" borderId="0" xfId="0" applyFont="1" applyFill="1"/>
    <xf numFmtId="0" fontId="1" fillId="12" borderId="0" xfId="0" applyFont="1" applyFill="1"/>
    <xf numFmtId="0" fontId="1" fillId="2" borderId="0" xfId="0" applyFont="1" applyFill="1"/>
    <xf numFmtId="0" fontId="1" fillId="24" borderId="0" xfId="0" applyFont="1" applyFill="1"/>
    <xf numFmtId="165" fontId="1" fillId="3" borderId="0" xfId="0" applyNumberFormat="1" applyFont="1" applyFill="1"/>
    <xf numFmtId="0" fontId="1" fillId="14" borderId="15" xfId="0" applyFont="1" applyFill="1" applyBorder="1"/>
    <xf numFmtId="0" fontId="1" fillId="14" borderId="17" xfId="0" applyFont="1" applyFill="1" applyBorder="1"/>
    <xf numFmtId="0" fontId="1" fillId="14" borderId="20" xfId="0" applyFont="1" applyFill="1" applyBorder="1"/>
    <xf numFmtId="0" fontId="6" fillId="14" borderId="0" xfId="0" applyFont="1" applyFill="1"/>
    <xf numFmtId="0" fontId="1" fillId="23" borderId="0" xfId="0" applyFont="1" applyFill="1"/>
    <xf numFmtId="0" fontId="1" fillId="25" borderId="0" xfId="0" applyFont="1" applyFill="1"/>
    <xf numFmtId="0" fontId="7" fillId="9" borderId="0" xfId="0" applyFont="1" applyFill="1"/>
    <xf numFmtId="0" fontId="7" fillId="23" borderId="0" xfId="0" applyFont="1" applyFill="1"/>
    <xf numFmtId="0" fontId="7" fillId="22" borderId="0" xfId="0" applyFont="1" applyFill="1"/>
    <xf numFmtId="0" fontId="7" fillId="0" borderId="0" xfId="0" applyFont="1"/>
    <xf numFmtId="0" fontId="1" fillId="14" borderId="16" xfId="0" applyFont="1" applyFill="1" applyBorder="1"/>
    <xf numFmtId="0" fontId="1" fillId="14" borderId="0" xfId="0" applyFont="1" applyFill="1" applyBorder="1"/>
    <xf numFmtId="0" fontId="1" fillId="14" borderId="19" xfId="0" applyFont="1" applyFill="1" applyBorder="1"/>
    <xf numFmtId="0" fontId="1" fillId="14" borderId="14" xfId="0" applyFont="1" applyFill="1" applyBorder="1"/>
    <xf numFmtId="0" fontId="1" fillId="9" borderId="0" xfId="0" applyFont="1" applyFill="1" applyBorder="1" applyAlignment="1">
      <alignment vertical="center"/>
    </xf>
    <xf numFmtId="167" fontId="1" fillId="14" borderId="0" xfId="0" applyNumberFormat="1" applyFont="1" applyFill="1" applyAlignment="1">
      <alignment horizontal="center"/>
    </xf>
    <xf numFmtId="0" fontId="1" fillId="14" borderId="13" xfId="0" applyFont="1" applyFill="1" applyBorder="1"/>
    <xf numFmtId="0" fontId="1" fillId="26" borderId="14" xfId="0" applyFont="1" applyFill="1" applyBorder="1"/>
    <xf numFmtId="0" fontId="1" fillId="26" borderId="15" xfId="0" applyFont="1" applyFill="1" applyBorder="1"/>
    <xf numFmtId="0" fontId="1" fillId="26" borderId="0" xfId="0" applyFont="1" applyFill="1" applyBorder="1"/>
    <xf numFmtId="0" fontId="1" fillId="26" borderId="17" xfId="0" applyFont="1" applyFill="1" applyBorder="1"/>
    <xf numFmtId="0" fontId="1" fillId="26" borderId="16" xfId="0" applyFont="1" applyFill="1" applyBorder="1"/>
    <xf numFmtId="0" fontId="1" fillId="20" borderId="0" xfId="0" applyFont="1" applyFill="1"/>
    <xf numFmtId="0" fontId="1" fillId="3" borderId="14" xfId="0" applyFont="1" applyFill="1" applyBorder="1" applyAlignment="1">
      <alignment horizontal="right"/>
    </xf>
    <xf numFmtId="0" fontId="1" fillId="9" borderId="14" xfId="0" applyFont="1" applyFill="1" applyBorder="1"/>
    <xf numFmtId="0" fontId="1" fillId="9" borderId="17" xfId="0" applyFont="1" applyFill="1" applyBorder="1"/>
    <xf numFmtId="0" fontId="1" fillId="9" borderId="16" xfId="0" applyFont="1" applyFill="1" applyBorder="1"/>
    <xf numFmtId="0" fontId="1" fillId="20" borderId="15" xfId="0" applyFont="1" applyFill="1" applyBorder="1"/>
    <xf numFmtId="0" fontId="1" fillId="20" borderId="17" xfId="0" applyFont="1" applyFill="1" applyBorder="1"/>
    <xf numFmtId="0" fontId="1" fillId="16" borderId="0" xfId="0" applyFont="1" applyFill="1" applyBorder="1" applyAlignment="1">
      <alignment horizontal="center"/>
    </xf>
    <xf numFmtId="0" fontId="1" fillId="17" borderId="0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1" fillId="16" borderId="24" xfId="0" applyFont="1" applyFill="1" applyBorder="1" applyAlignment="1">
      <alignment horizontal="center"/>
    </xf>
    <xf numFmtId="0" fontId="1" fillId="17" borderId="24" xfId="0" applyFont="1" applyFill="1" applyBorder="1" applyAlignment="1">
      <alignment horizontal="center"/>
    </xf>
    <xf numFmtId="0" fontId="1" fillId="27" borderId="0" xfId="0" applyFont="1" applyFill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16" borderId="8" xfId="0" applyFont="1" applyFill="1" applyBorder="1" applyAlignment="1">
      <alignment horizontal="center"/>
    </xf>
    <xf numFmtId="0" fontId="1" fillId="17" borderId="8" xfId="0" applyFont="1" applyFill="1" applyBorder="1" applyAlignment="1">
      <alignment horizontal="center"/>
    </xf>
    <xf numFmtId="0" fontId="1" fillId="28" borderId="0" xfId="0" applyFont="1" applyFill="1"/>
    <xf numFmtId="0" fontId="1" fillId="18" borderId="0" xfId="0" applyFont="1" applyFill="1"/>
    <xf numFmtId="0" fontId="1" fillId="2" borderId="13" xfId="0" applyFont="1" applyFill="1" applyBorder="1" applyAlignment="1">
      <alignment horizontal="right"/>
    </xf>
    <xf numFmtId="0" fontId="4" fillId="18" borderId="14" xfId="0" applyFont="1" applyFill="1" applyBorder="1" applyAlignment="1">
      <alignment horizontal="center" vertical="center"/>
    </xf>
    <xf numFmtId="0" fontId="4" fillId="18" borderId="19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4" fillId="18" borderId="15" xfId="0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center" vertical="center"/>
    </xf>
    <xf numFmtId="0" fontId="8" fillId="23" borderId="13" xfId="0" applyFont="1" applyFill="1" applyBorder="1" applyAlignment="1">
      <alignment horizontal="center" vertical="center"/>
    </xf>
    <xf numFmtId="0" fontId="8" fillId="23" borderId="14" xfId="0" applyFont="1" applyFill="1" applyBorder="1" applyAlignment="1">
      <alignment horizontal="center" vertical="center"/>
    </xf>
    <xf numFmtId="0" fontId="8" fillId="23" borderId="18" xfId="0" applyFont="1" applyFill="1" applyBorder="1" applyAlignment="1">
      <alignment horizontal="center" vertical="center"/>
    </xf>
    <xf numFmtId="0" fontId="8" fillId="23" borderId="19" xfId="0" applyFont="1" applyFill="1" applyBorder="1" applyAlignment="1">
      <alignment horizontal="center" vertical="center"/>
    </xf>
    <xf numFmtId="0" fontId="6" fillId="14" borderId="13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0" fontId="6" fillId="14" borderId="18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 wrapText="1"/>
    </xf>
    <xf numFmtId="0" fontId="1" fillId="9" borderId="18" xfId="0" applyFont="1" applyFill="1" applyBorder="1" applyAlignment="1">
      <alignment horizontal="center" vertical="center" wrapText="1"/>
    </xf>
    <xf numFmtId="0" fontId="1" fillId="26" borderId="13" xfId="0" applyFont="1" applyFill="1" applyBorder="1" applyAlignment="1">
      <alignment vertical="center"/>
    </xf>
    <xf numFmtId="0" fontId="1" fillId="26" borderId="16" xfId="0" applyFont="1" applyFill="1" applyBorder="1" applyAlignment="1">
      <alignment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vertical="center"/>
    </xf>
    <xf numFmtId="0" fontId="1" fillId="9" borderId="16" xfId="0" applyFont="1" applyFill="1" applyBorder="1" applyAlignment="1">
      <alignment vertical="center"/>
    </xf>
    <xf numFmtId="0" fontId="1" fillId="15" borderId="0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wrapText="1"/>
    </xf>
    <xf numFmtId="0" fontId="1" fillId="3" borderId="24" xfId="0" applyFont="1" applyFill="1" applyBorder="1" applyAlignment="1">
      <alignment horizontal="center" wrapText="1"/>
    </xf>
    <xf numFmtId="0" fontId="1" fillId="9" borderId="24" xfId="0" applyFont="1" applyFill="1" applyBorder="1" applyAlignment="1">
      <alignment horizontal="center" wrapText="1"/>
    </xf>
    <xf numFmtId="0" fontId="1" fillId="9" borderId="25" xfId="0" applyFont="1" applyFill="1" applyBorder="1" applyAlignment="1">
      <alignment horizontal="center" wrapText="1"/>
    </xf>
    <xf numFmtId="0" fontId="1" fillId="21" borderId="0" xfId="0" applyFont="1" applyFill="1" applyBorder="1" applyAlignment="1">
      <alignment horizontal="center" vertical="center"/>
    </xf>
    <xf numFmtId="0" fontId="1" fillId="15" borderId="8" xfId="0" applyFont="1" applyFill="1" applyBorder="1" applyAlignment="1">
      <alignment horizontal="center" vertical="center"/>
    </xf>
    <xf numFmtId="0" fontId="1" fillId="15" borderId="24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22" fmlaLink="$B$265" fmlaRange="$B$266:$B$334" noThreeD="1" sel="19" val="17"/>
</file>

<file path=xl/ctrlProps/ctrlProp9.xml><?xml version="1.0" encoding="utf-8"?>
<formControlPr xmlns="http://schemas.microsoft.com/office/spreadsheetml/2009/9/main" objectType="Drop" dropStyle="combo" dx="22" fmlaLink="$C$265" fmlaRange="$C$266:$C$334" noThreeD="1" sel="14" val="12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22" fmlaLink="$E$279" fmlaRange="$D$265:$D$274" noThreeD="1" sel="5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152400</xdr:rowOff>
        </xdr:from>
        <xdr:to>
          <xdr:col>7</xdr:col>
          <xdr:colOff>981075</xdr:colOff>
          <xdr:row>28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CALCOLO PIATTI TESTA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28</xdr:row>
          <xdr:rowOff>133350</xdr:rowOff>
        </xdr:from>
        <xdr:to>
          <xdr:col>7</xdr:col>
          <xdr:colOff>981075</xdr:colOff>
          <xdr:row>30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CALCOLO PIATTI CODA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21</xdr:row>
          <xdr:rowOff>95250</xdr:rowOff>
        </xdr:from>
        <xdr:to>
          <xdr:col>7</xdr:col>
          <xdr:colOff>971550</xdr:colOff>
          <xdr:row>22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INIZIALIZZA PIATTI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19</xdr:row>
          <xdr:rowOff>161925</xdr:rowOff>
        </xdr:from>
        <xdr:to>
          <xdr:col>7</xdr:col>
          <xdr:colOff>962025</xdr:colOff>
          <xdr:row>21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inizializza il bilancio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30</xdr:row>
          <xdr:rowOff>114300</xdr:rowOff>
        </xdr:from>
        <xdr:to>
          <xdr:col>7</xdr:col>
          <xdr:colOff>1000125</xdr:colOff>
          <xdr:row>32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CICLO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23</xdr:row>
          <xdr:rowOff>28575</xdr:rowOff>
        </xdr:from>
        <xdr:to>
          <xdr:col>7</xdr:col>
          <xdr:colOff>419100</xdr:colOff>
          <xdr:row>24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testa da n.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24</xdr:row>
          <xdr:rowOff>171450</xdr:rowOff>
        </xdr:from>
        <xdr:to>
          <xdr:col>7</xdr:col>
          <xdr:colOff>419100</xdr:colOff>
          <xdr:row>26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coda da n.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23</xdr:row>
          <xdr:rowOff>38100</xdr:rowOff>
        </xdr:from>
        <xdr:to>
          <xdr:col>7</xdr:col>
          <xdr:colOff>962025</xdr:colOff>
          <xdr:row>24</xdr:row>
          <xdr:rowOff>95250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24</xdr:row>
          <xdr:rowOff>161925</xdr:rowOff>
        </xdr:from>
        <xdr:to>
          <xdr:col>7</xdr:col>
          <xdr:colOff>962025</xdr:colOff>
          <xdr:row>26</xdr:row>
          <xdr:rowOff>38100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123825</xdr:rowOff>
        </xdr:from>
        <xdr:to>
          <xdr:col>6</xdr:col>
          <xdr:colOff>895350</xdr:colOff>
          <xdr:row>35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32</xdr:row>
          <xdr:rowOff>114300</xdr:rowOff>
        </xdr:from>
        <xdr:to>
          <xdr:col>7</xdr:col>
          <xdr:colOff>1000125</xdr:colOff>
          <xdr:row>35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coda2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35</xdr:row>
          <xdr:rowOff>114300</xdr:rowOff>
        </xdr:from>
        <xdr:to>
          <xdr:col>3</xdr:col>
          <xdr:colOff>419100</xdr:colOff>
          <xdr:row>37</xdr:row>
          <xdr:rowOff>57150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35</xdr:row>
          <xdr:rowOff>114300</xdr:rowOff>
        </xdr:from>
        <xdr:to>
          <xdr:col>4</xdr:col>
          <xdr:colOff>9525</xdr:colOff>
          <xdr:row>37</xdr:row>
          <xdr:rowOff>66675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3DD2-DFEE-46EB-A6D0-1A7305DCC298}">
  <sheetPr codeName="Foglio1"/>
  <dimension ref="A1:BT334"/>
  <sheetViews>
    <sheetView tabSelected="1" topLeftCell="A2" zoomScale="97" zoomScaleNormal="97" zoomScalePageLayoutView="119" workbookViewId="0">
      <selection activeCell="L39" sqref="L39:L150"/>
    </sheetView>
  </sheetViews>
  <sheetFormatPr defaultColWidth="15" defaultRowHeight="15" x14ac:dyDescent="0.25"/>
  <cols>
    <col min="1" max="2" width="15" style="21"/>
    <col min="3" max="3" width="7.28515625" style="21" customWidth="1"/>
    <col min="4" max="4" width="15.42578125" style="21" customWidth="1"/>
    <col min="5" max="11" width="15" style="21"/>
    <col min="12" max="12" width="16.42578125" style="21" customWidth="1"/>
    <col min="13" max="23" width="15" style="21"/>
    <col min="24" max="24" width="16.28515625" style="21" customWidth="1"/>
    <col min="25" max="31" width="15" style="21"/>
    <col min="32" max="32" width="19.85546875" style="21" bestFit="1" customWidth="1"/>
    <col min="33" max="39" width="15" style="21"/>
    <col min="40" max="40" width="19.42578125" style="21" customWidth="1"/>
    <col min="41" max="16384" width="15" style="21"/>
  </cols>
  <sheetData>
    <row r="1" spans="1:72" x14ac:dyDescent="0.25">
      <c r="A1" s="19"/>
      <c r="B1" s="147" t="s">
        <v>93</v>
      </c>
      <c r="C1" s="148"/>
      <c r="D1" s="148"/>
      <c r="E1" s="148"/>
      <c r="F1" s="148"/>
      <c r="G1" s="148"/>
      <c r="H1" s="149"/>
      <c r="I1" s="19"/>
      <c r="J1" s="19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</row>
    <row r="2" spans="1:72" ht="15.75" thickBot="1" x14ac:dyDescent="0.3">
      <c r="A2" s="19"/>
      <c r="B2" s="150"/>
      <c r="C2" s="151"/>
      <c r="D2" s="151"/>
      <c r="E2" s="151"/>
      <c r="F2" s="151"/>
      <c r="G2" s="151"/>
      <c r="H2" s="152"/>
      <c r="I2" s="19"/>
      <c r="J2" s="19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</row>
    <row r="3" spans="1:72" ht="15.75" thickBot="1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</row>
    <row r="4" spans="1:72" ht="15.75" thickBot="1" x14ac:dyDescent="0.3">
      <c r="A4" s="19"/>
      <c r="B4" s="22" t="s">
        <v>4</v>
      </c>
      <c r="C4" s="23" t="s">
        <v>5</v>
      </c>
      <c r="D4" s="24" t="s">
        <v>6</v>
      </c>
      <c r="E4" s="19"/>
      <c r="F4" s="1" t="s">
        <v>14</v>
      </c>
      <c r="G4" s="2">
        <v>1</v>
      </c>
      <c r="H4" s="19"/>
      <c r="I4" s="1" t="s">
        <v>87</v>
      </c>
      <c r="J4" s="2">
        <v>1.357</v>
      </c>
      <c r="K4" s="20" t="s">
        <v>88</v>
      </c>
      <c r="L4" s="68" t="s">
        <v>99</v>
      </c>
      <c r="M4" s="67">
        <f>Foglio2!J11</f>
        <v>1.5512048192771082</v>
      </c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>
        <v>5.0865476383345802</v>
      </c>
      <c r="AJ4" s="20">
        <v>11.5770503341635</v>
      </c>
      <c r="AK4" s="20">
        <v>18.878923691113201</v>
      </c>
      <c r="AL4" s="20">
        <v>0.85502878722101905</v>
      </c>
      <c r="AM4" s="20">
        <v>2.1763627187426399E-3</v>
      </c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</row>
    <row r="5" spans="1:72" ht="15.75" thickBot="1" x14ac:dyDescent="0.3">
      <c r="A5" s="19"/>
      <c r="B5" s="25"/>
      <c r="C5" s="26">
        <v>122.5</v>
      </c>
      <c r="D5" s="27">
        <f>C5/14.696*760</f>
        <v>6335.0571584104518</v>
      </c>
      <c r="E5" s="19"/>
      <c r="F5" s="19"/>
      <c r="G5" s="19"/>
      <c r="H5" s="19"/>
      <c r="I5" s="19"/>
      <c r="J5" s="19"/>
      <c r="K5" s="20"/>
      <c r="L5" s="1" t="s">
        <v>233</v>
      </c>
      <c r="M5" s="2">
        <v>0.2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</row>
    <row r="6" spans="1:72" ht="15.75" thickBot="1" x14ac:dyDescent="0.3">
      <c r="A6" s="19"/>
      <c r="B6" s="19"/>
      <c r="C6" s="19"/>
      <c r="D6" s="19" t="s">
        <v>51</v>
      </c>
      <c r="E6" s="19"/>
      <c r="F6" s="28" t="s">
        <v>7</v>
      </c>
      <c r="G6" s="29">
        <v>4200</v>
      </c>
      <c r="H6" s="19" t="s">
        <v>16</v>
      </c>
      <c r="I6" s="1" t="s">
        <v>196</v>
      </c>
      <c r="J6" s="2">
        <v>0.01</v>
      </c>
      <c r="K6" s="20"/>
      <c r="L6" s="20"/>
      <c r="M6" s="20">
        <f>M4+M5</f>
        <v>1.7512048192771081</v>
      </c>
      <c r="N6" s="20">
        <f>M4-M5</f>
        <v>1.3512048192771082</v>
      </c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</row>
    <row r="7" spans="1:72" ht="15.75" thickBot="1" x14ac:dyDescent="0.3">
      <c r="A7" s="19"/>
      <c r="B7" s="19"/>
      <c r="C7" s="19"/>
      <c r="D7" s="19"/>
      <c r="E7" s="19"/>
      <c r="F7" s="1" t="s">
        <v>195</v>
      </c>
      <c r="G7" s="2">
        <f>0.4536</f>
        <v>0.4536</v>
      </c>
      <c r="H7" s="19"/>
      <c r="I7" s="19"/>
      <c r="J7" s="19"/>
      <c r="K7" s="20"/>
      <c r="L7" s="20"/>
      <c r="M7" s="20"/>
      <c r="N7" s="20"/>
      <c r="O7" s="20"/>
      <c r="P7" s="20"/>
      <c r="Q7" s="20"/>
      <c r="R7" s="20"/>
      <c r="S7" s="20"/>
      <c r="T7" s="20" t="s">
        <v>85</v>
      </c>
      <c r="U7" s="20">
        <f>Foglio2!CF33</f>
        <v>68.927654226786728</v>
      </c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</row>
    <row r="8" spans="1:72" x14ac:dyDescent="0.25">
      <c r="A8" s="19"/>
      <c r="B8" s="48" t="s">
        <v>3</v>
      </c>
      <c r="C8" s="49"/>
      <c r="D8" s="49"/>
      <c r="E8" s="50"/>
      <c r="F8" s="19" t="s">
        <v>50</v>
      </c>
      <c r="G8" s="19"/>
      <c r="H8" s="19"/>
      <c r="I8" s="74" t="s">
        <v>7</v>
      </c>
      <c r="J8" s="75">
        <f>G6</f>
        <v>4200</v>
      </c>
      <c r="K8" s="75" t="s">
        <v>82</v>
      </c>
      <c r="L8" s="75">
        <f>Foglio2!CF89</f>
        <v>78.389802785439372</v>
      </c>
      <c r="M8" s="75"/>
      <c r="N8" s="76"/>
      <c r="O8" s="69" t="s">
        <v>21</v>
      </c>
      <c r="P8" s="30"/>
      <c r="Q8" s="20"/>
      <c r="R8" s="20" t="s">
        <v>22</v>
      </c>
      <c r="S8" s="74"/>
      <c r="T8" s="75" t="s">
        <v>82</v>
      </c>
      <c r="U8" s="75">
        <f>Foglio2!CF6</f>
        <v>59.361839436470483</v>
      </c>
      <c r="V8" s="75"/>
      <c r="W8" s="75"/>
      <c r="X8" s="76" t="s">
        <v>24</v>
      </c>
      <c r="Y8" s="20"/>
      <c r="Z8" s="20" t="s">
        <v>77</v>
      </c>
      <c r="AA8" s="74"/>
      <c r="AB8" s="114" t="s">
        <v>23</v>
      </c>
      <c r="AC8" s="75">
        <f>Foglio2!CF61</f>
        <v>112.33438770314308</v>
      </c>
      <c r="AD8" s="75"/>
      <c r="AE8" s="75"/>
      <c r="AF8" s="76" t="s">
        <v>24</v>
      </c>
      <c r="AG8" s="20"/>
      <c r="AH8" s="20" t="s">
        <v>86</v>
      </c>
      <c r="AI8" s="74"/>
      <c r="AJ8" s="75" t="s">
        <v>23</v>
      </c>
      <c r="AK8" s="75">
        <f>Foglio2!CF33</f>
        <v>68.927654226786728</v>
      </c>
      <c r="AL8" s="75"/>
      <c r="AM8" s="75"/>
      <c r="AN8" s="76" t="s">
        <v>91</v>
      </c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</row>
    <row r="9" spans="1:72" x14ac:dyDescent="0.25">
      <c r="A9" s="19" t="s">
        <v>8</v>
      </c>
      <c r="B9" s="51"/>
      <c r="C9" s="31" t="s">
        <v>0</v>
      </c>
      <c r="D9" s="31" t="s">
        <v>1</v>
      </c>
      <c r="E9" s="52" t="s">
        <v>2</v>
      </c>
      <c r="F9" s="19"/>
      <c r="G9" s="19" t="s">
        <v>52</v>
      </c>
      <c r="H9" s="19"/>
      <c r="I9" s="77"/>
      <c r="J9" s="32" t="s">
        <v>49</v>
      </c>
      <c r="K9" s="32" t="str">
        <f>H6</f>
        <v>lb/h</v>
      </c>
      <c r="L9" s="33" t="s">
        <v>15</v>
      </c>
      <c r="M9" s="33" t="s">
        <v>18</v>
      </c>
      <c r="N9" s="78" t="s">
        <v>17</v>
      </c>
      <c r="O9" s="70" t="s">
        <v>20</v>
      </c>
      <c r="P9" s="34" t="s">
        <v>19</v>
      </c>
      <c r="Q9" s="20"/>
      <c r="R9" s="20" t="s">
        <v>16</v>
      </c>
      <c r="S9" s="79" t="s">
        <v>25</v>
      </c>
      <c r="T9" s="32" t="s">
        <v>15</v>
      </c>
      <c r="U9" s="33"/>
      <c r="V9" s="33" t="s">
        <v>26</v>
      </c>
      <c r="W9" s="33" t="s">
        <v>27</v>
      </c>
      <c r="X9" s="80" t="s">
        <v>28</v>
      </c>
      <c r="Y9" s="20"/>
      <c r="Z9" s="20" t="s">
        <v>16</v>
      </c>
      <c r="AA9" s="79" t="s">
        <v>25</v>
      </c>
      <c r="AB9" s="32" t="s">
        <v>15</v>
      </c>
      <c r="AC9" s="33"/>
      <c r="AD9" s="33" t="s">
        <v>26</v>
      </c>
      <c r="AE9" s="33" t="s">
        <v>89</v>
      </c>
      <c r="AF9" s="80" t="s">
        <v>28</v>
      </c>
      <c r="AG9" s="20"/>
      <c r="AH9" s="20" t="s">
        <v>16</v>
      </c>
      <c r="AI9" s="79" t="s">
        <v>25</v>
      </c>
      <c r="AJ9" s="32" t="s">
        <v>15</v>
      </c>
      <c r="AK9" s="33"/>
      <c r="AL9" s="33" t="s">
        <v>26</v>
      </c>
      <c r="AM9" s="33" t="s">
        <v>90</v>
      </c>
      <c r="AN9" s="80" t="s">
        <v>92</v>
      </c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</row>
    <row r="10" spans="1:72" x14ac:dyDescent="0.25">
      <c r="A10" s="19">
        <v>1</v>
      </c>
      <c r="B10" s="53" t="s">
        <v>11</v>
      </c>
      <c r="C10" s="17">
        <v>15.726000000000001</v>
      </c>
      <c r="D10" s="17">
        <v>1872.46</v>
      </c>
      <c r="E10" s="54">
        <f>273.15-25.16</f>
        <v>247.98999999999998</v>
      </c>
      <c r="F10" s="19">
        <f>(-D10/(LN(D$5)-C10))-E10</f>
        <v>20.57294044607815</v>
      </c>
      <c r="G10" s="19">
        <f>F10+273.15</f>
        <v>293.72294044607816</v>
      </c>
      <c r="H10" s="19">
        <f>38.36</f>
        <v>38.36</v>
      </c>
      <c r="I10" s="53" t="str">
        <f>B10</f>
        <v>C3</v>
      </c>
      <c r="J10" s="17">
        <v>5</v>
      </c>
      <c r="K10" s="17">
        <f t="shared" ref="K10:K19" si="0">J$8*J10/100</f>
        <v>210</v>
      </c>
      <c r="L10" s="17">
        <v>44.1</v>
      </c>
      <c r="M10" s="17">
        <f t="shared" ref="M10:M19" si="1">IF(ISERROR(K10/(L10/G$7)*1000)=TRUE,0,K10/(L10/G$7))*1000</f>
        <v>2159.9999999999995</v>
      </c>
      <c r="N10" s="54">
        <f t="shared" ref="N10:N19" si="2">M10/M$20</f>
        <v>7.2461434141379885E-2</v>
      </c>
      <c r="O10" s="71"/>
      <c r="P10" s="35"/>
      <c r="Q10" s="20"/>
      <c r="R10" s="20">
        <f>Foglio2!B19</f>
        <v>207.89999999999995</v>
      </c>
      <c r="S10" s="81">
        <f>R10/R$20</f>
        <v>0.10763306908267269</v>
      </c>
      <c r="T10" s="17">
        <f>L10</f>
        <v>44.1</v>
      </c>
      <c r="U10" s="17"/>
      <c r="V10" s="17">
        <f>IF(ISERROR(R10/(T10/G$7)*1000)=TRUE,0,R10/(T10/G$7))*1000</f>
        <v>2138.3999999999996</v>
      </c>
      <c r="W10" s="17">
        <f>V10/V$20</f>
        <v>0.13809227787132397</v>
      </c>
      <c r="X10" s="54">
        <f>Foglio2!CF17</f>
        <v>0.33289656769703746</v>
      </c>
      <c r="Y10" s="20"/>
      <c r="Z10" s="20">
        <f>K10-R10</f>
        <v>2.1000000000000512</v>
      </c>
      <c r="AA10" s="81">
        <f>Z10/Z$20</f>
        <v>9.2574734811959802E-4</v>
      </c>
      <c r="AB10" s="17">
        <f>T10</f>
        <v>44.1</v>
      </c>
      <c r="AC10" s="17"/>
      <c r="AD10" s="17">
        <f t="shared" ref="AD10:AD19" si="3">IF(ISERROR(Z10/(AB10/G$7)*1000)=TRUE,0,Z10/(AB10/G$7))*1000</f>
        <v>21.600000000000524</v>
      </c>
      <c r="AE10" s="17">
        <f>AD10/AD$20</f>
        <v>1.5079941860465477E-3</v>
      </c>
      <c r="AF10" s="54">
        <f>Foglio2!CF72</f>
        <v>8.9024903593311715E-3</v>
      </c>
      <c r="AG10" s="20"/>
      <c r="AH10" s="20">
        <f>R10+R10*J$4</f>
        <v>490.02029999999991</v>
      </c>
      <c r="AI10" s="81">
        <f>AH10/AH$20</f>
        <v>0.10763306908267271</v>
      </c>
      <c r="AJ10" s="17">
        <f>AB10</f>
        <v>44.1</v>
      </c>
      <c r="AK10" s="17"/>
      <c r="AL10" s="17">
        <f t="shared" ref="AL10:AL19" si="4">IF(ISERROR(AH10/(AJ10/G$7)*1000)=TRUE,0,AH10/(AJ10/G$7))*1000</f>
        <v>5040.2087999999985</v>
      </c>
      <c r="AM10" s="17">
        <f>AL10/AL$20</f>
        <v>0.13809227787132397</v>
      </c>
      <c r="AN10" s="54">
        <f>Foglio2!CF44</f>
        <v>4.7661546731060711E-2</v>
      </c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</row>
    <row r="11" spans="1:72" x14ac:dyDescent="0.25">
      <c r="A11" s="19">
        <v>2</v>
      </c>
      <c r="B11" s="55" t="s">
        <v>12</v>
      </c>
      <c r="C11" s="18">
        <v>15.5381</v>
      </c>
      <c r="D11" s="18">
        <v>2032.73</v>
      </c>
      <c r="E11" s="56">
        <f>273.15-33.15</f>
        <v>239.99999999999997</v>
      </c>
      <c r="F11" s="19">
        <f t="shared" ref="F11:F19" si="5">(-D11/(LN(D$5)-C11))-E11</f>
        <v>59.625048172258033</v>
      </c>
      <c r="G11" s="19">
        <f t="shared" ref="G11:G19" si="6">F11+273.15</f>
        <v>332.77504817225804</v>
      </c>
      <c r="H11" s="19">
        <v>47.74</v>
      </c>
      <c r="I11" s="55" t="str">
        <f t="shared" ref="I11:I19" si="7">B11</f>
        <v>iC4</v>
      </c>
      <c r="J11" s="18">
        <v>15</v>
      </c>
      <c r="K11" s="18">
        <f t="shared" si="0"/>
        <v>630</v>
      </c>
      <c r="L11" s="18">
        <v>58.1</v>
      </c>
      <c r="M11" s="18">
        <f t="shared" si="1"/>
        <v>4918.5542168674692</v>
      </c>
      <c r="N11" s="56">
        <f t="shared" si="2"/>
        <v>0.16500254280386506</v>
      </c>
      <c r="O11" s="72"/>
      <c r="P11" s="36"/>
      <c r="Q11" s="20"/>
      <c r="R11" s="20">
        <f>Foglio2!B20</f>
        <v>623.69999999999993</v>
      </c>
      <c r="S11" s="82">
        <f t="shared" ref="S11:S19" si="8">R11/R$20</f>
        <v>0.32289920724801813</v>
      </c>
      <c r="T11" s="18">
        <f t="shared" ref="T11:T19" si="9">L11</f>
        <v>58.1</v>
      </c>
      <c r="U11" s="18"/>
      <c r="V11" s="18">
        <f t="shared" ref="V11:V19" si="10">IF(ISERROR(R11/(T11/G$7)*1000)=TRUE,0,R11/(T11/G$7))*1000</f>
        <v>4869.3686746987942</v>
      </c>
      <c r="W11" s="18">
        <f t="shared" ref="W11:W19" si="11">V11/V$20</f>
        <v>0.31445109057446063</v>
      </c>
      <c r="X11" s="56">
        <f>Foglio2!CF18</f>
        <v>0.31258099448882831</v>
      </c>
      <c r="Y11" s="20"/>
      <c r="Z11" s="20">
        <f t="shared" ref="Z11:Z19" si="12">K11-R11</f>
        <v>6.3000000000000682</v>
      </c>
      <c r="AA11" s="82">
        <f t="shared" ref="AA11:AA19" si="13">Z11/Z$20</f>
        <v>2.7772420443587568E-3</v>
      </c>
      <c r="AB11" s="18">
        <f t="shared" ref="AB11:AB19" si="14">T11</f>
        <v>58.1</v>
      </c>
      <c r="AC11" s="18"/>
      <c r="AD11" s="18">
        <f t="shared" si="3"/>
        <v>49.185542168675227</v>
      </c>
      <c r="AE11" s="18">
        <f t="shared" ref="AE11:AE19" si="15">AD11/AD$20</f>
        <v>3.4338662790698031E-3</v>
      </c>
      <c r="AF11" s="56">
        <f>Foglio2!CF73</f>
        <v>9.4745781033952862E-3</v>
      </c>
      <c r="AG11" s="20"/>
      <c r="AH11" s="20">
        <f t="shared" ref="AH11:AH19" si="16">R11+R11*J$4</f>
        <v>1470.0608999999999</v>
      </c>
      <c r="AI11" s="82">
        <f t="shared" ref="AI11:AI19" si="17">AH11/AH$20</f>
        <v>0.32289920724801818</v>
      </c>
      <c r="AJ11" s="18">
        <f t="shared" ref="AJ11:AJ19" si="18">AB11</f>
        <v>58.1</v>
      </c>
      <c r="AK11" s="18"/>
      <c r="AL11" s="18">
        <f t="shared" si="4"/>
        <v>11477.101966265058</v>
      </c>
      <c r="AM11" s="18">
        <f t="shared" ref="AM11:AM19" si="19">AL11/AL$20</f>
        <v>0.31445109057446063</v>
      </c>
      <c r="AN11" s="56">
        <f>Foglio2!CF45</f>
        <v>0.25634840093267486</v>
      </c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</row>
    <row r="12" spans="1:72" x14ac:dyDescent="0.25">
      <c r="A12" s="19">
        <v>3</v>
      </c>
      <c r="B12" s="53" t="s">
        <v>10</v>
      </c>
      <c r="C12" s="17">
        <v>15.578200000000001</v>
      </c>
      <c r="D12" s="17">
        <v>2154.9</v>
      </c>
      <c r="E12" s="54">
        <f>273.15-34.42</f>
        <v>238.72999999999996</v>
      </c>
      <c r="F12" s="19">
        <f t="shared" si="5"/>
        <v>77.036527140389126</v>
      </c>
      <c r="G12" s="19">
        <f t="shared" si="6"/>
        <v>350.1865271403891</v>
      </c>
      <c r="H12" s="19">
        <v>50.34</v>
      </c>
      <c r="I12" s="53" t="str">
        <f t="shared" si="7"/>
        <v>C4</v>
      </c>
      <c r="J12" s="17">
        <v>25</v>
      </c>
      <c r="K12" s="17">
        <f t="shared" si="0"/>
        <v>1050</v>
      </c>
      <c r="L12" s="17">
        <v>58.1</v>
      </c>
      <c r="M12" s="17">
        <f t="shared" si="1"/>
        <v>8197.590361445782</v>
      </c>
      <c r="N12" s="54">
        <f t="shared" si="2"/>
        <v>0.27500423800644175</v>
      </c>
      <c r="O12" s="71">
        <v>1</v>
      </c>
      <c r="P12" s="35"/>
      <c r="Q12" s="20"/>
      <c r="R12" s="20">
        <f>Foglio2!B21</f>
        <v>1027.3156249999997</v>
      </c>
      <c r="S12" s="81">
        <f t="shared" si="8"/>
        <v>0.53185730464326153</v>
      </c>
      <c r="T12" s="17">
        <f t="shared" si="9"/>
        <v>58.1</v>
      </c>
      <c r="U12" s="17"/>
      <c r="V12" s="17">
        <f t="shared" si="10"/>
        <v>8020.4882530120458</v>
      </c>
      <c r="W12" s="17">
        <f t="shared" si="11"/>
        <v>0.51794214950366135</v>
      </c>
      <c r="X12" s="54">
        <f>Foglio2!CF19</f>
        <v>0.34558175979856387</v>
      </c>
      <c r="Y12" s="20"/>
      <c r="Z12" s="20">
        <f t="shared" si="12"/>
        <v>22.684375000000273</v>
      </c>
      <c r="AA12" s="81">
        <f t="shared" si="13"/>
        <v>1.0000000000000118E-2</v>
      </c>
      <c r="AB12" s="17">
        <f t="shared" si="14"/>
        <v>58.1</v>
      </c>
      <c r="AC12" s="17"/>
      <c r="AD12" s="17">
        <f t="shared" si="3"/>
        <v>177.10210843373704</v>
      </c>
      <c r="AE12" s="17">
        <f t="shared" si="15"/>
        <v>1.236430323401177E-2</v>
      </c>
      <c r="AF12" s="54">
        <f>Foglio2!CF74</f>
        <v>2.455631838324189E-2</v>
      </c>
      <c r="AG12" s="20"/>
      <c r="AH12" s="20">
        <f t="shared" si="16"/>
        <v>2421.3829281249991</v>
      </c>
      <c r="AI12" s="81">
        <f t="shared" si="17"/>
        <v>0.53185730464326153</v>
      </c>
      <c r="AJ12" s="17">
        <f t="shared" si="18"/>
        <v>58.1</v>
      </c>
      <c r="AK12" s="17"/>
      <c r="AL12" s="17">
        <f t="shared" si="4"/>
        <v>18904.290812349387</v>
      </c>
      <c r="AM12" s="17">
        <f t="shared" si="19"/>
        <v>0.51794214950366135</v>
      </c>
      <c r="AN12" s="54">
        <f>Foglio2!CF46</f>
        <v>0.6200074609762839</v>
      </c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</row>
    <row r="13" spans="1:72" x14ac:dyDescent="0.25">
      <c r="A13" s="19">
        <v>4</v>
      </c>
      <c r="B13" s="55" t="s">
        <v>9</v>
      </c>
      <c r="C13" s="18">
        <v>15.633800000000001</v>
      </c>
      <c r="D13" s="18">
        <v>2348.67</v>
      </c>
      <c r="E13" s="56">
        <f>273.15-40.05</f>
        <v>233.09999999999997</v>
      </c>
      <c r="F13" s="19">
        <f t="shared" si="5"/>
        <v>108.27913864133245</v>
      </c>
      <c r="G13" s="19">
        <f t="shared" si="6"/>
        <v>381.42913864133243</v>
      </c>
      <c r="H13" s="19">
        <v>58.52</v>
      </c>
      <c r="I13" s="55" t="str">
        <f t="shared" si="7"/>
        <v>iC5</v>
      </c>
      <c r="J13" s="18">
        <v>20</v>
      </c>
      <c r="K13" s="18">
        <f t="shared" si="0"/>
        <v>840</v>
      </c>
      <c r="L13" s="18">
        <v>72.099999999999994</v>
      </c>
      <c r="M13" s="18">
        <f t="shared" si="1"/>
        <v>5284.6601941747576</v>
      </c>
      <c r="N13" s="56">
        <f t="shared" si="2"/>
        <v>0.17728428547211394</v>
      </c>
      <c r="O13" s="72"/>
      <c r="P13" s="36">
        <v>3</v>
      </c>
      <c r="Q13" s="20"/>
      <c r="R13" s="20">
        <f>Foglio2!B22</f>
        <v>57.946874999999999</v>
      </c>
      <c r="S13" s="82">
        <f t="shared" si="8"/>
        <v>3.0000000000000002E-2</v>
      </c>
      <c r="T13" s="18">
        <f t="shared" si="9"/>
        <v>72.099999999999994</v>
      </c>
      <c r="U13" s="18"/>
      <c r="V13" s="18">
        <f t="shared" si="10"/>
        <v>364.55898058252427</v>
      </c>
      <c r="W13" s="18">
        <f t="shared" si="11"/>
        <v>2.3542265267063482E-2</v>
      </c>
      <c r="X13" s="56">
        <f>Foglio2!CF20</f>
        <v>7.4488113943168704E-3</v>
      </c>
      <c r="Y13" s="20"/>
      <c r="Z13" s="20">
        <f t="shared" si="12"/>
        <v>782.05312500000002</v>
      </c>
      <c r="AA13" s="82">
        <f t="shared" si="13"/>
        <v>0.34475409836065568</v>
      </c>
      <c r="AB13" s="18">
        <f t="shared" si="14"/>
        <v>72.099999999999994</v>
      </c>
      <c r="AC13" s="18"/>
      <c r="AD13" s="18">
        <f t="shared" si="3"/>
        <v>4920.1012135922338</v>
      </c>
      <c r="AE13" s="18">
        <f t="shared" si="15"/>
        <v>0.34349463078043851</v>
      </c>
      <c r="AF13" s="56">
        <f>Foglio2!CF75</f>
        <v>0.3723890141556136</v>
      </c>
      <c r="AG13" s="20"/>
      <c r="AH13" s="20">
        <f t="shared" si="16"/>
        <v>136.58078437500001</v>
      </c>
      <c r="AI13" s="82">
        <f t="shared" si="17"/>
        <v>3.0000000000000009E-2</v>
      </c>
      <c r="AJ13" s="18">
        <f t="shared" si="18"/>
        <v>72.099999999999994</v>
      </c>
      <c r="AK13" s="18"/>
      <c r="AL13" s="18">
        <f t="shared" si="4"/>
        <v>859.26551723300986</v>
      </c>
      <c r="AM13" s="18">
        <f t="shared" si="19"/>
        <v>2.3542265267063493E-2</v>
      </c>
      <c r="AN13" s="56">
        <f>Foglio2!CF47</f>
        <v>5.7696259311898146E-2</v>
      </c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</row>
    <row r="14" spans="1:72" x14ac:dyDescent="0.25">
      <c r="A14" s="19">
        <v>5</v>
      </c>
      <c r="B14" s="53" t="s">
        <v>13</v>
      </c>
      <c r="C14" s="17">
        <v>15.833299999999999</v>
      </c>
      <c r="D14" s="17">
        <v>2477.0700000000002</v>
      </c>
      <c r="E14" s="54">
        <f>273.15-39.94</f>
        <v>233.20999999999998</v>
      </c>
      <c r="F14" s="19">
        <f t="shared" si="5"/>
        <v>116.68602863858615</v>
      </c>
      <c r="G14" s="19">
        <f t="shared" si="6"/>
        <v>389.83602863858613</v>
      </c>
      <c r="H14" s="19">
        <v>63.06</v>
      </c>
      <c r="I14" s="53" t="str">
        <f t="shared" si="7"/>
        <v>C5</v>
      </c>
      <c r="J14" s="17">
        <v>35</v>
      </c>
      <c r="K14" s="17">
        <f t="shared" si="0"/>
        <v>1470</v>
      </c>
      <c r="L14" s="17">
        <v>72.099999999999994</v>
      </c>
      <c r="M14" s="17">
        <f t="shared" si="1"/>
        <v>9248.1553398058259</v>
      </c>
      <c r="N14" s="54">
        <f t="shared" si="2"/>
        <v>0.3102474995761994</v>
      </c>
      <c r="O14" s="71"/>
      <c r="P14" s="35"/>
      <c r="Q14" s="20"/>
      <c r="R14" s="20">
        <f>Foglio2!B23</f>
        <v>14.700000000000001</v>
      </c>
      <c r="S14" s="81">
        <f t="shared" si="8"/>
        <v>7.6104190260475662E-3</v>
      </c>
      <c r="T14" s="17">
        <f t="shared" si="9"/>
        <v>72.099999999999994</v>
      </c>
      <c r="U14" s="17"/>
      <c r="V14" s="17">
        <f t="shared" si="10"/>
        <v>92.481553398058267</v>
      </c>
      <c r="W14" s="17">
        <f t="shared" si="11"/>
        <v>5.9722167834906238E-3</v>
      </c>
      <c r="X14" s="54">
        <f>Foglio2!CF21</f>
        <v>1.4918666212545811E-3</v>
      </c>
      <c r="Y14" s="20"/>
      <c r="Z14" s="20">
        <f t="shared" si="12"/>
        <v>1455.3</v>
      </c>
      <c r="AA14" s="81">
        <f t="shared" si="13"/>
        <v>0.64154291224686577</v>
      </c>
      <c r="AB14" s="17">
        <f t="shared" si="14"/>
        <v>72.099999999999994</v>
      </c>
      <c r="AC14" s="17"/>
      <c r="AD14" s="17">
        <f t="shared" si="3"/>
        <v>9155.6737864077677</v>
      </c>
      <c r="AE14" s="17">
        <f t="shared" si="15"/>
        <v>0.6391992055204333</v>
      </c>
      <c r="AF14" s="54">
        <f>Foglio2!CF76</f>
        <v>0.58467759899842187</v>
      </c>
      <c r="AG14" s="20"/>
      <c r="AH14" s="20">
        <f t="shared" si="16"/>
        <v>34.6479</v>
      </c>
      <c r="AI14" s="81">
        <f t="shared" si="17"/>
        <v>7.6104190260475671E-3</v>
      </c>
      <c r="AJ14" s="17">
        <f t="shared" si="18"/>
        <v>72.099999999999994</v>
      </c>
      <c r="AK14" s="17"/>
      <c r="AL14" s="17">
        <f t="shared" si="4"/>
        <v>217.97902135922331</v>
      </c>
      <c r="AM14" s="17">
        <f t="shared" si="19"/>
        <v>5.9722167834906246E-3</v>
      </c>
      <c r="AN14" s="54">
        <f>Foglio2!CF48</f>
        <v>1.8286332048085736E-2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</row>
    <row r="15" spans="1:72" x14ac:dyDescent="0.25">
      <c r="A15" s="19">
        <v>6</v>
      </c>
      <c r="B15" s="55"/>
      <c r="C15" s="18"/>
      <c r="D15" s="18"/>
      <c r="E15" s="56"/>
      <c r="F15" s="19">
        <f t="shared" si="5"/>
        <v>0</v>
      </c>
      <c r="G15" s="19">
        <f t="shared" si="6"/>
        <v>273.14999999999998</v>
      </c>
      <c r="H15" s="19"/>
      <c r="I15" s="55">
        <f t="shared" si="7"/>
        <v>0</v>
      </c>
      <c r="J15" s="18"/>
      <c r="K15" s="18">
        <f t="shared" si="0"/>
        <v>0</v>
      </c>
      <c r="L15" s="18">
        <v>0</v>
      </c>
      <c r="M15" s="18">
        <f t="shared" si="1"/>
        <v>0</v>
      </c>
      <c r="N15" s="56">
        <f t="shared" si="2"/>
        <v>0</v>
      </c>
      <c r="O15" s="72"/>
      <c r="P15" s="36"/>
      <c r="Q15" s="20"/>
      <c r="R15" s="20">
        <f>Foglio2!B24</f>
        <v>0</v>
      </c>
      <c r="S15" s="82">
        <f t="shared" si="8"/>
        <v>0</v>
      </c>
      <c r="T15" s="18">
        <f t="shared" si="9"/>
        <v>0</v>
      </c>
      <c r="U15" s="18"/>
      <c r="V15" s="18">
        <f t="shared" si="10"/>
        <v>0</v>
      </c>
      <c r="W15" s="18">
        <f t="shared" si="11"/>
        <v>0</v>
      </c>
      <c r="X15" s="56">
        <f>Foglio2!CF22</f>
        <v>0</v>
      </c>
      <c r="Y15" s="20"/>
      <c r="Z15" s="20">
        <f t="shared" si="12"/>
        <v>0</v>
      </c>
      <c r="AA15" s="82">
        <f t="shared" si="13"/>
        <v>0</v>
      </c>
      <c r="AB15" s="18">
        <f t="shared" si="14"/>
        <v>0</v>
      </c>
      <c r="AC15" s="18"/>
      <c r="AD15" s="18">
        <f t="shared" si="3"/>
        <v>0</v>
      </c>
      <c r="AE15" s="18">
        <f t="shared" si="15"/>
        <v>0</v>
      </c>
      <c r="AF15" s="56">
        <f>Foglio2!CF77</f>
        <v>0</v>
      </c>
      <c r="AG15" s="20"/>
      <c r="AH15" s="20">
        <f t="shared" si="16"/>
        <v>0</v>
      </c>
      <c r="AI15" s="82">
        <f t="shared" si="17"/>
        <v>0</v>
      </c>
      <c r="AJ15" s="18">
        <f t="shared" si="18"/>
        <v>0</v>
      </c>
      <c r="AK15" s="18"/>
      <c r="AL15" s="18">
        <f t="shared" si="4"/>
        <v>0</v>
      </c>
      <c r="AM15" s="18">
        <f t="shared" si="19"/>
        <v>0</v>
      </c>
      <c r="AN15" s="56">
        <f>Foglio2!CF49</f>
        <v>0</v>
      </c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</row>
    <row r="16" spans="1:72" x14ac:dyDescent="0.25">
      <c r="A16" s="19">
        <v>7</v>
      </c>
      <c r="B16" s="53"/>
      <c r="C16" s="17"/>
      <c r="D16" s="17"/>
      <c r="E16" s="54"/>
      <c r="F16" s="19">
        <f t="shared" si="5"/>
        <v>0</v>
      </c>
      <c r="G16" s="19">
        <f t="shared" si="6"/>
        <v>273.14999999999998</v>
      </c>
      <c r="H16" s="19"/>
      <c r="I16" s="53">
        <f t="shared" si="7"/>
        <v>0</v>
      </c>
      <c r="J16" s="17"/>
      <c r="K16" s="17">
        <f t="shared" si="0"/>
        <v>0</v>
      </c>
      <c r="L16" s="17">
        <v>0</v>
      </c>
      <c r="M16" s="17">
        <f t="shared" si="1"/>
        <v>0</v>
      </c>
      <c r="N16" s="54">
        <f t="shared" si="2"/>
        <v>0</v>
      </c>
      <c r="O16" s="71"/>
      <c r="P16" s="35"/>
      <c r="Q16" s="20"/>
      <c r="R16" s="20">
        <f>Foglio2!B25</f>
        <v>0</v>
      </c>
      <c r="S16" s="81">
        <f t="shared" si="8"/>
        <v>0</v>
      </c>
      <c r="T16" s="17">
        <f t="shared" si="9"/>
        <v>0</v>
      </c>
      <c r="U16" s="17"/>
      <c r="V16" s="17">
        <f t="shared" si="10"/>
        <v>0</v>
      </c>
      <c r="W16" s="17">
        <f t="shared" si="11"/>
        <v>0</v>
      </c>
      <c r="X16" s="54">
        <f>Foglio2!CF23</f>
        <v>0</v>
      </c>
      <c r="Y16" s="20"/>
      <c r="Z16" s="20">
        <f t="shared" si="12"/>
        <v>0</v>
      </c>
      <c r="AA16" s="81">
        <f t="shared" si="13"/>
        <v>0</v>
      </c>
      <c r="AB16" s="17">
        <f t="shared" si="14"/>
        <v>0</v>
      </c>
      <c r="AC16" s="17"/>
      <c r="AD16" s="17">
        <f t="shared" si="3"/>
        <v>0</v>
      </c>
      <c r="AE16" s="17">
        <f t="shared" si="15"/>
        <v>0</v>
      </c>
      <c r="AF16" s="54">
        <f>Foglio2!CF78</f>
        <v>0</v>
      </c>
      <c r="AG16" s="20"/>
      <c r="AH16" s="20">
        <f t="shared" si="16"/>
        <v>0</v>
      </c>
      <c r="AI16" s="81">
        <f t="shared" si="17"/>
        <v>0</v>
      </c>
      <c r="AJ16" s="17">
        <f t="shared" si="18"/>
        <v>0</v>
      </c>
      <c r="AK16" s="17"/>
      <c r="AL16" s="17">
        <f t="shared" si="4"/>
        <v>0</v>
      </c>
      <c r="AM16" s="17">
        <f t="shared" si="19"/>
        <v>0</v>
      </c>
      <c r="AN16" s="54">
        <f>Foglio2!CF50</f>
        <v>0</v>
      </c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</row>
    <row r="17" spans="1:72" x14ac:dyDescent="0.25">
      <c r="A17" s="19">
        <v>8</v>
      </c>
      <c r="B17" s="55"/>
      <c r="C17" s="18"/>
      <c r="D17" s="18"/>
      <c r="E17" s="56"/>
      <c r="F17" s="19">
        <f t="shared" si="5"/>
        <v>0</v>
      </c>
      <c r="G17" s="19">
        <f t="shared" si="6"/>
        <v>273.14999999999998</v>
      </c>
      <c r="H17" s="19"/>
      <c r="I17" s="55">
        <f t="shared" si="7"/>
        <v>0</v>
      </c>
      <c r="J17" s="18"/>
      <c r="K17" s="18">
        <f t="shared" si="0"/>
        <v>0</v>
      </c>
      <c r="L17" s="18">
        <v>0</v>
      </c>
      <c r="M17" s="18">
        <f t="shared" si="1"/>
        <v>0</v>
      </c>
      <c r="N17" s="56">
        <f t="shared" si="2"/>
        <v>0</v>
      </c>
      <c r="O17" s="72"/>
      <c r="P17" s="36"/>
      <c r="Q17" s="20"/>
      <c r="R17" s="20">
        <f>Foglio2!B26</f>
        <v>0</v>
      </c>
      <c r="S17" s="82">
        <f t="shared" si="8"/>
        <v>0</v>
      </c>
      <c r="T17" s="18">
        <f t="shared" si="9"/>
        <v>0</v>
      </c>
      <c r="U17" s="18"/>
      <c r="V17" s="18">
        <f t="shared" si="10"/>
        <v>0</v>
      </c>
      <c r="W17" s="18">
        <f t="shared" si="11"/>
        <v>0</v>
      </c>
      <c r="X17" s="56">
        <f>Foglio2!CF24</f>
        <v>0</v>
      </c>
      <c r="Y17" s="20"/>
      <c r="Z17" s="20">
        <f t="shared" si="12"/>
        <v>0</v>
      </c>
      <c r="AA17" s="82">
        <f t="shared" si="13"/>
        <v>0</v>
      </c>
      <c r="AB17" s="18">
        <f t="shared" si="14"/>
        <v>0</v>
      </c>
      <c r="AC17" s="18"/>
      <c r="AD17" s="18">
        <f t="shared" si="3"/>
        <v>0</v>
      </c>
      <c r="AE17" s="18">
        <f t="shared" si="15"/>
        <v>0</v>
      </c>
      <c r="AF17" s="56">
        <f>Foglio2!CF79</f>
        <v>0</v>
      </c>
      <c r="AG17" s="20"/>
      <c r="AH17" s="20">
        <f t="shared" si="16"/>
        <v>0</v>
      </c>
      <c r="AI17" s="82">
        <f t="shared" si="17"/>
        <v>0</v>
      </c>
      <c r="AJ17" s="18">
        <f t="shared" si="18"/>
        <v>0</v>
      </c>
      <c r="AK17" s="18"/>
      <c r="AL17" s="18">
        <f t="shared" si="4"/>
        <v>0</v>
      </c>
      <c r="AM17" s="18">
        <f t="shared" si="19"/>
        <v>0</v>
      </c>
      <c r="AN17" s="56">
        <f>Foglio2!CF51</f>
        <v>0</v>
      </c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</row>
    <row r="18" spans="1:72" x14ac:dyDescent="0.25">
      <c r="A18" s="19">
        <v>9</v>
      </c>
      <c r="B18" s="53"/>
      <c r="C18" s="17"/>
      <c r="D18" s="17"/>
      <c r="E18" s="54"/>
      <c r="F18" s="19">
        <f t="shared" si="5"/>
        <v>0</v>
      </c>
      <c r="G18" s="19">
        <f t="shared" si="6"/>
        <v>273.14999999999998</v>
      </c>
      <c r="H18" s="19"/>
      <c r="I18" s="53">
        <f t="shared" si="7"/>
        <v>0</v>
      </c>
      <c r="J18" s="17"/>
      <c r="K18" s="17">
        <f t="shared" si="0"/>
        <v>0</v>
      </c>
      <c r="L18" s="17">
        <v>0</v>
      </c>
      <c r="M18" s="17">
        <f t="shared" si="1"/>
        <v>0</v>
      </c>
      <c r="N18" s="54">
        <f t="shared" si="2"/>
        <v>0</v>
      </c>
      <c r="O18" s="71"/>
      <c r="P18" s="35"/>
      <c r="Q18" s="20"/>
      <c r="R18" s="20">
        <f>Foglio2!B27</f>
        <v>0</v>
      </c>
      <c r="S18" s="81">
        <f t="shared" si="8"/>
        <v>0</v>
      </c>
      <c r="T18" s="17">
        <f t="shared" si="9"/>
        <v>0</v>
      </c>
      <c r="U18" s="17"/>
      <c r="V18" s="17">
        <f t="shared" si="10"/>
        <v>0</v>
      </c>
      <c r="W18" s="17">
        <f t="shared" si="11"/>
        <v>0</v>
      </c>
      <c r="X18" s="54">
        <f>Foglio2!CF25</f>
        <v>0</v>
      </c>
      <c r="Y18" s="20"/>
      <c r="Z18" s="20">
        <f t="shared" si="12"/>
        <v>0</v>
      </c>
      <c r="AA18" s="81">
        <f t="shared" si="13"/>
        <v>0</v>
      </c>
      <c r="AB18" s="17">
        <f t="shared" si="14"/>
        <v>0</v>
      </c>
      <c r="AC18" s="17"/>
      <c r="AD18" s="17">
        <f t="shared" si="3"/>
        <v>0</v>
      </c>
      <c r="AE18" s="17">
        <f t="shared" si="15"/>
        <v>0</v>
      </c>
      <c r="AF18" s="54">
        <f>Foglio2!CF80</f>
        <v>0</v>
      </c>
      <c r="AG18" s="20"/>
      <c r="AH18" s="20">
        <f t="shared" si="16"/>
        <v>0</v>
      </c>
      <c r="AI18" s="81">
        <f t="shared" si="17"/>
        <v>0</v>
      </c>
      <c r="AJ18" s="17">
        <f t="shared" si="18"/>
        <v>0</v>
      </c>
      <c r="AK18" s="17"/>
      <c r="AL18" s="17">
        <f t="shared" si="4"/>
        <v>0</v>
      </c>
      <c r="AM18" s="17">
        <f t="shared" si="19"/>
        <v>0</v>
      </c>
      <c r="AN18" s="54">
        <f>Foglio2!CF52</f>
        <v>0</v>
      </c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</row>
    <row r="19" spans="1:72" ht="15.75" thickBot="1" x14ac:dyDescent="0.3">
      <c r="A19" s="19">
        <v>10</v>
      </c>
      <c r="B19" s="57"/>
      <c r="C19" s="58"/>
      <c r="D19" s="58"/>
      <c r="E19" s="59"/>
      <c r="F19" s="19">
        <f t="shared" si="5"/>
        <v>0</v>
      </c>
      <c r="G19" s="19">
        <f t="shared" si="6"/>
        <v>273.14999999999998</v>
      </c>
      <c r="H19" s="19"/>
      <c r="I19" s="57">
        <f t="shared" si="7"/>
        <v>0</v>
      </c>
      <c r="J19" s="58"/>
      <c r="K19" s="58">
        <f t="shared" si="0"/>
        <v>0</v>
      </c>
      <c r="L19" s="58">
        <v>0</v>
      </c>
      <c r="M19" s="58">
        <f t="shared" si="1"/>
        <v>0</v>
      </c>
      <c r="N19" s="59">
        <f t="shared" si="2"/>
        <v>0</v>
      </c>
      <c r="O19" s="73"/>
      <c r="P19" s="37"/>
      <c r="Q19" s="20"/>
      <c r="R19" s="20">
        <f>Foglio2!B28</f>
        <v>0</v>
      </c>
      <c r="S19" s="83">
        <f t="shared" si="8"/>
        <v>0</v>
      </c>
      <c r="T19" s="58">
        <f t="shared" si="9"/>
        <v>0</v>
      </c>
      <c r="U19" s="58"/>
      <c r="V19" s="58">
        <f t="shared" si="10"/>
        <v>0</v>
      </c>
      <c r="W19" s="58">
        <f t="shared" si="11"/>
        <v>0</v>
      </c>
      <c r="X19" s="59">
        <f>Foglio2!CF26</f>
        <v>0</v>
      </c>
      <c r="Y19" s="20"/>
      <c r="Z19" s="20">
        <f t="shared" si="12"/>
        <v>0</v>
      </c>
      <c r="AA19" s="83">
        <f t="shared" si="13"/>
        <v>0</v>
      </c>
      <c r="AB19" s="58">
        <f t="shared" si="14"/>
        <v>0</v>
      </c>
      <c r="AC19" s="58"/>
      <c r="AD19" s="58">
        <f t="shared" si="3"/>
        <v>0</v>
      </c>
      <c r="AE19" s="58">
        <f t="shared" si="15"/>
        <v>0</v>
      </c>
      <c r="AF19" s="59">
        <f>Foglio2!CF81</f>
        <v>0</v>
      </c>
      <c r="AG19" s="20"/>
      <c r="AH19" s="20">
        <f t="shared" si="16"/>
        <v>0</v>
      </c>
      <c r="AI19" s="83">
        <f t="shared" si="17"/>
        <v>0</v>
      </c>
      <c r="AJ19" s="58">
        <f t="shared" si="18"/>
        <v>0</v>
      </c>
      <c r="AK19" s="58"/>
      <c r="AL19" s="58">
        <f t="shared" si="4"/>
        <v>0</v>
      </c>
      <c r="AM19" s="58">
        <f t="shared" si="19"/>
        <v>0</v>
      </c>
      <c r="AN19" s="59">
        <f>Foglio2!CF53</f>
        <v>0</v>
      </c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</row>
    <row r="20" spans="1:72" x14ac:dyDescent="0.25">
      <c r="A20" s="19"/>
      <c r="B20" s="19"/>
      <c r="C20" s="19"/>
      <c r="D20" s="19"/>
      <c r="E20" s="19"/>
      <c r="F20" s="19"/>
      <c r="G20" s="19"/>
      <c r="H20" s="19"/>
      <c r="I20" s="38"/>
      <c r="J20" s="45">
        <f>SUM(J10:J14)</f>
        <v>100</v>
      </c>
      <c r="K20" s="45">
        <f>SUM(K10:K14)</f>
        <v>4200</v>
      </c>
      <c r="L20" s="45">
        <v>0</v>
      </c>
      <c r="M20" s="45">
        <f>SUM(M10:M15)</f>
        <v>29808.960112293833</v>
      </c>
      <c r="N20" s="45">
        <f>SUM(N10:N15)</f>
        <v>1</v>
      </c>
      <c r="O20" s="19"/>
      <c r="P20" s="19"/>
      <c r="Q20" s="20"/>
      <c r="R20" s="39">
        <f>SUM(R10:R19)</f>
        <v>1931.5624999999998</v>
      </c>
      <c r="S20" s="40">
        <f>SUM(S10:S19)</f>
        <v>0.99999999999999989</v>
      </c>
      <c r="T20" s="40">
        <f>SUM(T10:T19)</f>
        <v>304.5</v>
      </c>
      <c r="U20" s="40"/>
      <c r="V20" s="40">
        <f>SUM(V10:V19)</f>
        <v>15485.297461691422</v>
      </c>
      <c r="W20" s="40">
        <f>SUM(W10:W19)</f>
        <v>1</v>
      </c>
      <c r="X20" s="106">
        <f>SUM(X10:X19)</f>
        <v>1.0000000000000011</v>
      </c>
      <c r="Y20" s="20"/>
      <c r="Z20" s="39">
        <f>SUM(Z10:Z19)</f>
        <v>2268.4375000000005</v>
      </c>
      <c r="AA20" s="39">
        <f t="shared" ref="AA20:AF20" si="20">SUM(AA10:AA19)</f>
        <v>1</v>
      </c>
      <c r="AB20" s="39">
        <f t="shared" si="20"/>
        <v>304.5</v>
      </c>
      <c r="AC20" s="39"/>
      <c r="AD20" s="39">
        <f t="shared" si="20"/>
        <v>14323.662650602415</v>
      </c>
      <c r="AE20" s="39">
        <f t="shared" si="20"/>
        <v>1</v>
      </c>
      <c r="AF20" s="40">
        <f t="shared" si="20"/>
        <v>1.0000000000000038</v>
      </c>
      <c r="AG20" s="20"/>
      <c r="AH20" s="39">
        <f>SUM(AH10:AH19)</f>
        <v>4552.6928124999986</v>
      </c>
      <c r="AI20" s="39">
        <f>SUM(AI10:AI19)</f>
        <v>1</v>
      </c>
      <c r="AJ20" s="39">
        <f>SUM(AJ10:AJ19)</f>
        <v>304.5</v>
      </c>
      <c r="AK20" s="39"/>
      <c r="AL20" s="39">
        <f>SUM(AL10:AL19)</f>
        <v>36498.846117206675</v>
      </c>
      <c r="AM20" s="39">
        <f>SUM(AM10:AM19)</f>
        <v>1</v>
      </c>
      <c r="AN20" s="47">
        <f>SUM(AN10:AN19)</f>
        <v>1.0000000000000033</v>
      </c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</row>
    <row r="21" spans="1:72" ht="15.75" thickBot="1" x14ac:dyDescent="0.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41"/>
      <c r="S21" s="41"/>
      <c r="T21" s="41"/>
      <c r="U21" s="41"/>
      <c r="V21" s="41"/>
      <c r="W21" s="41"/>
      <c r="X21" s="41"/>
      <c r="Y21" s="19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</row>
    <row r="22" spans="1:72" ht="15.75" customHeight="1" thickBot="1" x14ac:dyDescent="0.3">
      <c r="A22" s="20"/>
      <c r="B22" s="1" t="s">
        <v>96</v>
      </c>
      <c r="C22" s="2">
        <v>60</v>
      </c>
      <c r="D22" s="19" t="s">
        <v>219</v>
      </c>
      <c r="E22" s="20"/>
      <c r="F22" s="20"/>
      <c r="G22" s="20"/>
      <c r="H22" s="20"/>
      <c r="I22" s="155" t="s">
        <v>237</v>
      </c>
      <c r="J22" s="156"/>
      <c r="K22" s="156"/>
      <c r="L22" s="153">
        <f>I36-J36-K36</f>
        <v>654520.52086768404</v>
      </c>
      <c r="M22" s="155" t="s">
        <v>238</v>
      </c>
      <c r="N22" s="156"/>
      <c r="O22" s="156"/>
      <c r="P22" s="156"/>
      <c r="Q22" s="145">
        <f>N36+O36-M36+L22</f>
        <v>702488.50822398427</v>
      </c>
      <c r="R22" s="178" t="s">
        <v>234</v>
      </c>
      <c r="S22" s="179"/>
      <c r="T22" s="179"/>
      <c r="U22" s="179"/>
      <c r="V22" s="180"/>
      <c r="W22" s="41"/>
      <c r="X22" s="171" t="s">
        <v>235</v>
      </c>
      <c r="Y22" s="138"/>
      <c r="Z22" s="41"/>
      <c r="AA22" s="41"/>
      <c r="AB22" s="41"/>
      <c r="AC22" s="41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</row>
    <row r="23" spans="1:72" ht="15" customHeight="1" x14ac:dyDescent="0.25">
      <c r="A23" s="20"/>
      <c r="B23" s="20"/>
      <c r="C23" s="20"/>
      <c r="D23" s="20"/>
      <c r="E23" s="20"/>
      <c r="F23" s="20"/>
      <c r="G23" s="20"/>
      <c r="H23" s="20"/>
      <c r="I23" s="157"/>
      <c r="J23" s="158"/>
      <c r="K23" s="158"/>
      <c r="L23" s="154"/>
      <c r="M23" s="157"/>
      <c r="N23" s="158"/>
      <c r="O23" s="158"/>
      <c r="P23" s="158"/>
      <c r="Q23" s="146"/>
      <c r="R23" s="181"/>
      <c r="S23" s="182"/>
      <c r="T23" s="182"/>
      <c r="U23" s="182"/>
      <c r="V23" s="183"/>
      <c r="W23" s="41"/>
      <c r="X23" s="172"/>
      <c r="Y23" s="139"/>
      <c r="Z23" s="41"/>
      <c r="AA23" s="41"/>
      <c r="AB23" s="41"/>
      <c r="AC23" s="41"/>
      <c r="AD23" s="41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</row>
    <row r="24" spans="1:72" x14ac:dyDescent="0.25">
      <c r="A24" s="20"/>
      <c r="B24" s="48"/>
      <c r="C24" s="49" t="s">
        <v>78</v>
      </c>
      <c r="D24" s="49"/>
      <c r="E24" s="49"/>
      <c r="F24" s="50"/>
      <c r="G24" s="20"/>
      <c r="H24" s="20"/>
      <c r="I24" s="64"/>
      <c r="J24" s="65"/>
      <c r="K24" s="66"/>
      <c r="L24" s="20" t="s">
        <v>217</v>
      </c>
      <c r="M24" s="48"/>
      <c r="N24" s="49"/>
      <c r="O24" s="49"/>
      <c r="P24" s="50"/>
      <c r="Q24" s="19" t="s">
        <v>218</v>
      </c>
      <c r="R24" s="64"/>
      <c r="S24" s="65" t="s">
        <v>221</v>
      </c>
      <c r="T24" s="65" t="s">
        <v>222</v>
      </c>
      <c r="U24" s="65" t="s">
        <v>223</v>
      </c>
      <c r="V24" s="175" t="s">
        <v>224</v>
      </c>
      <c r="W24" s="170" t="s">
        <v>225</v>
      </c>
      <c r="X24" s="177" t="s">
        <v>226</v>
      </c>
      <c r="Y24" s="176" t="s">
        <v>227</v>
      </c>
      <c r="Z24" s="170" t="s">
        <v>228</v>
      </c>
      <c r="AA24" s="170" t="s">
        <v>229</v>
      </c>
      <c r="AB24" s="41"/>
      <c r="AC24" s="41"/>
      <c r="AD24" s="41"/>
      <c r="AE24" s="144" t="s">
        <v>23</v>
      </c>
      <c r="AF24" s="49">
        <v>60</v>
      </c>
      <c r="AG24" s="49"/>
      <c r="AH24" s="49"/>
      <c r="AI24" s="49"/>
      <c r="AJ24" s="49"/>
      <c r="AK24" s="5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</row>
    <row r="25" spans="1:72" x14ac:dyDescent="0.25">
      <c r="A25" s="20"/>
      <c r="B25" s="51"/>
      <c r="C25" s="31" t="s">
        <v>79</v>
      </c>
      <c r="D25" s="31" t="s">
        <v>80</v>
      </c>
      <c r="E25" s="31" t="s">
        <v>94</v>
      </c>
      <c r="F25" s="52" t="s">
        <v>81</v>
      </c>
      <c r="G25" s="20"/>
      <c r="H25" s="20"/>
      <c r="I25" s="60" t="s">
        <v>86</v>
      </c>
      <c r="J25" s="31" t="s">
        <v>33</v>
      </c>
      <c r="K25" s="52" t="s">
        <v>95</v>
      </c>
      <c r="L25" s="20"/>
      <c r="M25" s="60" t="s">
        <v>197</v>
      </c>
      <c r="N25" s="31" t="s">
        <v>33</v>
      </c>
      <c r="O25" s="31" t="s">
        <v>1</v>
      </c>
      <c r="P25" s="52"/>
      <c r="Q25" s="19"/>
      <c r="R25" s="51"/>
      <c r="S25" s="31" t="s">
        <v>220</v>
      </c>
      <c r="T25" s="31" t="str">
        <f>CONCATENATE("L",A39)</f>
        <v>L9</v>
      </c>
      <c r="U25" s="31" t="str">
        <f>CONCATENATE("L",A153)</f>
        <v>L1</v>
      </c>
      <c r="V25" s="175"/>
      <c r="W25" s="170"/>
      <c r="X25" s="177"/>
      <c r="Y25" s="176"/>
      <c r="Z25" s="170"/>
      <c r="AA25" s="170"/>
      <c r="AB25" s="41" t="s">
        <v>230</v>
      </c>
      <c r="AC25" s="41"/>
      <c r="AD25" s="41"/>
      <c r="AE25" s="51"/>
      <c r="AF25" s="31" t="s">
        <v>236</v>
      </c>
      <c r="AG25" s="31" t="s">
        <v>80</v>
      </c>
      <c r="AH25" s="31" t="s">
        <v>94</v>
      </c>
      <c r="AI25" s="31" t="s">
        <v>81</v>
      </c>
      <c r="AJ25" s="31" t="s">
        <v>94</v>
      </c>
      <c r="AK25" s="52" t="s">
        <v>81</v>
      </c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</row>
    <row r="26" spans="1:72" x14ac:dyDescent="0.25">
      <c r="A26" s="20">
        <v>33.479999999999997</v>
      </c>
      <c r="B26" s="53" t="str">
        <f>B10</f>
        <v>C3</v>
      </c>
      <c r="C26" s="17">
        <v>0.21633333333333329</v>
      </c>
      <c r="D26" s="17">
        <v>9.2666666666666703E-2</v>
      </c>
      <c r="E26" s="17">
        <v>20.5</v>
      </c>
      <c r="F26" s="54">
        <v>32.799999999999997</v>
      </c>
      <c r="G26" s="20"/>
      <c r="H26" s="20"/>
      <c r="I26" s="61">
        <f>(D26*(AK$8-C$22)+F26)*AL10</f>
        <v>169488.59300947451</v>
      </c>
      <c r="J26" s="17">
        <f>(C26*(U$8-C$22)+E26)*V10</f>
        <v>43541.982328555183</v>
      </c>
      <c r="K26" s="54">
        <f>(C26*(U$8-C$22)+E26)*J$4*V10</f>
        <v>59086.470019849381</v>
      </c>
      <c r="L26" s="20"/>
      <c r="M26" s="61">
        <f>(C26*(L$8-$C$22)+$E26)*M10</f>
        <v>52873.187045580096</v>
      </c>
      <c r="N26" s="17">
        <f t="shared" ref="N26:N35" si="21">J26</f>
        <v>43541.982328555183</v>
      </c>
      <c r="O26" s="17">
        <f t="shared" ref="O26:O35" si="22">(C26*(AC$8-$C$22)+$E26)*AD10</f>
        <v>687.34812685926363</v>
      </c>
      <c r="P26" s="54"/>
      <c r="Q26" s="20"/>
      <c r="R26" s="53" t="str">
        <f>B10</f>
        <v>C3</v>
      </c>
      <c r="S26" s="17">
        <f>M10</f>
        <v>2159.9999999999995</v>
      </c>
      <c r="T26" s="17">
        <f>HLOOKUP(A$39,D$39:CN$72,25,FALSE)</f>
        <v>350.44332040514598</v>
      </c>
      <c r="U26" s="17">
        <f>HLOOKUP(A$153,D$153:CN$243,82,FALSE)</f>
        <v>0</v>
      </c>
      <c r="V26" s="120">
        <f>S26+T26-U26</f>
        <v>2510.4433204051456</v>
      </c>
      <c r="W26" s="120">
        <f>U26/(S26+T26)</f>
        <v>0</v>
      </c>
      <c r="X26" s="134">
        <f>Foglio2!G19</f>
        <v>2138.3999999999996</v>
      </c>
      <c r="Y26" s="140">
        <f>M10-X26</f>
        <v>21.599999999999909</v>
      </c>
      <c r="Z26" s="120">
        <f>X26*W26</f>
        <v>0</v>
      </c>
      <c r="AA26" s="120" t="e">
        <f>Y26/W26</f>
        <v>#DIV/0!</v>
      </c>
      <c r="AB26" s="136">
        <f>IF(ISERROR(IF(X26&lt;=Y26,IF(Z26&lt;=S26,Z26,S26-AA26),S26-AA26))=TRUE,0,IF(X26&lt;=Y26,IF(Z26&lt;=S26,Z26,S26-AA26),S26-AA26))</f>
        <v>0</v>
      </c>
      <c r="AC26" s="41">
        <v>2159.9999731296143</v>
      </c>
      <c r="AD26" s="41" t="e">
        <f>IF(AND(X26&lt;=Y26,Z26&lt;=S26),Z26,S26-AA26)</f>
        <v>#DIV/0!</v>
      </c>
      <c r="AE26" s="53" t="s">
        <v>11</v>
      </c>
      <c r="AF26" s="17">
        <v>0.21633333333333329</v>
      </c>
      <c r="AG26" s="17">
        <v>9.2666666666666703E-2</v>
      </c>
      <c r="AH26" s="17">
        <v>20.5</v>
      </c>
      <c r="AI26" s="17">
        <v>32.799999999999997</v>
      </c>
      <c r="AJ26" s="17">
        <v>45.1</v>
      </c>
      <c r="AK26" s="54">
        <v>57.4</v>
      </c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</row>
    <row r="27" spans="1:72" x14ac:dyDescent="0.25">
      <c r="A27" s="20">
        <v>34.46</v>
      </c>
      <c r="B27" s="55" t="str">
        <f t="shared" ref="B27:B35" si="23">B11</f>
        <v>iC4</v>
      </c>
      <c r="C27" s="18">
        <v>0.17266666666666666</v>
      </c>
      <c r="D27" s="18">
        <v>0.11733333333333332</v>
      </c>
      <c r="E27" s="18">
        <v>24.1</v>
      </c>
      <c r="F27" s="56">
        <v>40.700000000000003</v>
      </c>
      <c r="G27" s="20"/>
      <c r="H27" s="20"/>
      <c r="I27" s="62">
        <f t="shared" ref="I27:I35" si="24">(D27*(AK$8-C$22)+F27)*AL11</f>
        <v>479140.4455116202</v>
      </c>
      <c r="J27" s="18">
        <f t="shared" ref="J27:J35" si="25">(C27*(U$8-C$22)+E27)*V11</f>
        <v>116815.23391631628</v>
      </c>
      <c r="K27" s="56">
        <f t="shared" ref="K27:K35" si="26">(C27*(U$8-C$22)+E27)*J$4*V11</f>
        <v>158518.27242444121</v>
      </c>
      <c r="L27" s="20"/>
      <c r="M27" s="62">
        <f t="shared" ref="M27:M35" si="27">(C27*(L$8-C$22)+E27)*M11</f>
        <v>134155.07108501278</v>
      </c>
      <c r="N27" s="18">
        <f t="shared" si="21"/>
        <v>116815.23391631628</v>
      </c>
      <c r="O27" s="18">
        <f t="shared" si="22"/>
        <v>1629.8320098719987</v>
      </c>
      <c r="P27" s="56"/>
      <c r="Q27" s="20"/>
      <c r="R27" s="55" t="str">
        <f t="shared" ref="R27:R35" si="28">B11</f>
        <v>iC4</v>
      </c>
      <c r="S27" s="18">
        <f t="shared" ref="S27:S35" si="29">M11</f>
        <v>4918.5542168674692</v>
      </c>
      <c r="T27" s="18">
        <f>HLOOKUP(A$39,D$39:CN$72,26,FALSE)</f>
        <v>2315.349912594088</v>
      </c>
      <c r="U27" s="18">
        <f>HLOOKUP(A$153,D$153:CN$243,83,FALSE)</f>
        <v>0</v>
      </c>
      <c r="V27" s="121">
        <f t="shared" ref="V27:V35" si="30">S27+T27-U27</f>
        <v>7233.9041294615572</v>
      </c>
      <c r="W27" s="121">
        <f t="shared" ref="W27:W35" si="31">U27/(S27+T27)</f>
        <v>0</v>
      </c>
      <c r="X27" s="135">
        <f>Foglio2!G20</f>
        <v>4869.3686746987951</v>
      </c>
      <c r="Y27" s="141">
        <f t="shared" ref="Y27:Y35" si="32">M11-X27</f>
        <v>49.185542168674147</v>
      </c>
      <c r="Z27" s="121">
        <f t="shared" ref="Z27:Z35" si="33">X27*W27</f>
        <v>0</v>
      </c>
      <c r="AA27" s="121" t="e">
        <f t="shared" ref="AA27:AA35" si="34">Y27/W27</f>
        <v>#DIV/0!</v>
      </c>
      <c r="AB27" s="136">
        <f t="shared" ref="AB27:AB35" si="35">IF(ISERROR(IF(X27&lt;=Y27,IF(Z27&lt;=S27,Z27,S27-AA27),S27-AA27))=TRUE,0,IF(X27&lt;=Y27,IF(Z27&lt;=S27,Z27,S27-AA27),S27-AA27))</f>
        <v>0</v>
      </c>
      <c r="AC27" s="41">
        <v>4916.9886637773789</v>
      </c>
      <c r="AD27" s="41" t="e">
        <f t="shared" ref="AD27:AD30" si="36">IF(AND(X27&lt;=Y27,Z27&lt;=S27),Z27,S27-AA27)</f>
        <v>#DIV/0!</v>
      </c>
      <c r="AE27" s="55" t="s">
        <v>12</v>
      </c>
      <c r="AF27" s="18">
        <v>0.17266666666666666</v>
      </c>
      <c r="AG27" s="18">
        <v>0.11733333333333332</v>
      </c>
      <c r="AH27" s="18">
        <v>24.1</v>
      </c>
      <c r="AI27" s="18">
        <v>40.700000000000003</v>
      </c>
      <c r="AJ27" s="18">
        <v>57.3</v>
      </c>
      <c r="AK27" s="56">
        <v>73.900000000000006</v>
      </c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</row>
    <row r="28" spans="1:72" x14ac:dyDescent="0.25">
      <c r="A28" s="20">
        <v>35.979999999999997</v>
      </c>
      <c r="B28" s="53" t="str">
        <f t="shared" si="23"/>
        <v>C4</v>
      </c>
      <c r="C28" s="17">
        <v>0.17299999999999993</v>
      </c>
      <c r="D28" s="17">
        <v>0.11733333333333344</v>
      </c>
      <c r="E28" s="17">
        <v>25.6</v>
      </c>
      <c r="F28" s="54">
        <v>43.3</v>
      </c>
      <c r="G28" s="20"/>
      <c r="H28" s="20"/>
      <c r="I28" s="61">
        <f t="shared" si="24"/>
        <v>838358.25286302762</v>
      </c>
      <c r="J28" s="17">
        <f t="shared" si="25"/>
        <v>204439.02311763333</v>
      </c>
      <c r="K28" s="54">
        <f t="shared" si="26"/>
        <v>277423.75437062845</v>
      </c>
      <c r="L28" s="20"/>
      <c r="M28" s="61">
        <f t="shared" si="27"/>
        <v>235938.42137387756</v>
      </c>
      <c r="N28" s="17">
        <f t="shared" si="21"/>
        <v>204439.02311763333</v>
      </c>
      <c r="O28" s="17">
        <f t="shared" si="22"/>
        <v>6137.2697361097116</v>
      </c>
      <c r="P28" s="54"/>
      <c r="Q28" s="20"/>
      <c r="R28" s="53" t="str">
        <f t="shared" si="28"/>
        <v>C4</v>
      </c>
      <c r="S28" s="17">
        <f t="shared" si="29"/>
        <v>8197.590361445782</v>
      </c>
      <c r="T28" s="17">
        <f>HLOOKUP(A$39,D$39:CN$72,27,FALSE)</f>
        <v>7118.0137955967539</v>
      </c>
      <c r="U28" s="17">
        <f>HLOOKUP(A$153,D$153:CN$243,84,FALSE)</f>
        <v>0</v>
      </c>
      <c r="V28" s="120">
        <f t="shared" si="30"/>
        <v>15315.604157042537</v>
      </c>
      <c r="W28" s="120">
        <f t="shared" si="31"/>
        <v>0</v>
      </c>
      <c r="X28" s="134">
        <f>Foglio2!G21</f>
        <v>8020.4882530120467</v>
      </c>
      <c r="Y28" s="140">
        <f t="shared" si="32"/>
        <v>177.10210843373534</v>
      </c>
      <c r="Z28" s="120">
        <f t="shared" si="33"/>
        <v>0</v>
      </c>
      <c r="AA28" s="120" t="e">
        <f t="shared" si="34"/>
        <v>#DIV/0!</v>
      </c>
      <c r="AB28" s="136">
        <f t="shared" si="35"/>
        <v>0</v>
      </c>
      <c r="AC28" s="41">
        <v>8041.4457831325299</v>
      </c>
      <c r="AD28" s="41" t="e">
        <f t="shared" si="36"/>
        <v>#DIV/0!</v>
      </c>
      <c r="AE28" s="53" t="s">
        <v>10</v>
      </c>
      <c r="AF28" s="17">
        <v>0.17299999999999993</v>
      </c>
      <c r="AG28" s="17">
        <v>0.11733333333333344</v>
      </c>
      <c r="AH28" s="17">
        <v>25.6</v>
      </c>
      <c r="AI28" s="17">
        <v>43.3</v>
      </c>
      <c r="AJ28" s="17">
        <v>61</v>
      </c>
      <c r="AK28" s="54">
        <v>78.7</v>
      </c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</row>
    <row r="29" spans="1:72" x14ac:dyDescent="0.25">
      <c r="A29" s="20">
        <v>41.08</v>
      </c>
      <c r="B29" s="55" t="str">
        <f t="shared" si="23"/>
        <v>iC5</v>
      </c>
      <c r="C29" s="18">
        <v>0.22800000000000001</v>
      </c>
      <c r="D29" s="18">
        <v>0.11700000000000005</v>
      </c>
      <c r="E29" s="18">
        <v>27.4</v>
      </c>
      <c r="F29" s="56">
        <v>51.5</v>
      </c>
      <c r="G29" s="20"/>
      <c r="H29" s="20"/>
      <c r="I29" s="62">
        <f t="shared" si="24"/>
        <v>45149.707512442321</v>
      </c>
      <c r="J29" s="18">
        <f t="shared" si="25"/>
        <v>9935.8725144578348</v>
      </c>
      <c r="K29" s="56">
        <f t="shared" si="26"/>
        <v>13482.979002119282</v>
      </c>
      <c r="L29" s="20"/>
      <c r="M29" s="62">
        <f t="shared" si="27"/>
        <v>166957.60911742566</v>
      </c>
      <c r="N29" s="18">
        <f t="shared" si="21"/>
        <v>9935.8725144578348</v>
      </c>
      <c r="O29" s="18">
        <f t="shared" si="22"/>
        <v>193518.60370721889</v>
      </c>
      <c r="P29" s="56"/>
      <c r="Q29" s="19"/>
      <c r="R29" s="55" t="str">
        <f t="shared" si="28"/>
        <v>iC5</v>
      </c>
      <c r="S29" s="18">
        <f t="shared" si="29"/>
        <v>5284.6601941747576</v>
      </c>
      <c r="T29" s="18">
        <f>HLOOKUP(A$39,D$39:CN$72,28,FALSE)</f>
        <v>4101.581628772632</v>
      </c>
      <c r="U29" s="18">
        <f>HLOOKUP(A$153,D$153:CN$243,85,FALSE)</f>
        <v>0</v>
      </c>
      <c r="V29" s="121">
        <f t="shared" si="30"/>
        <v>9386.2418229473897</v>
      </c>
      <c r="W29" s="121">
        <f t="shared" si="31"/>
        <v>0</v>
      </c>
      <c r="X29" s="135">
        <f>Foglio2!G22</f>
        <v>364.55898058252427</v>
      </c>
      <c r="Y29" s="141">
        <f t="shared" si="32"/>
        <v>4920.1012135922338</v>
      </c>
      <c r="Z29" s="121">
        <f t="shared" si="33"/>
        <v>0</v>
      </c>
      <c r="AA29" s="121" t="e">
        <f t="shared" si="34"/>
        <v>#DIV/0!</v>
      </c>
      <c r="AB29" s="136">
        <f t="shared" si="35"/>
        <v>0</v>
      </c>
      <c r="AC29" s="41">
        <v>314.56310679611653</v>
      </c>
      <c r="AD29" s="41">
        <f t="shared" si="36"/>
        <v>0</v>
      </c>
      <c r="AE29" s="55" t="s">
        <v>9</v>
      </c>
      <c r="AF29" s="18">
        <v>0.22800000000000001</v>
      </c>
      <c r="AG29" s="18">
        <v>0.11700000000000005</v>
      </c>
      <c r="AH29" s="18">
        <v>27.4</v>
      </c>
      <c r="AI29" s="18">
        <v>51.5</v>
      </c>
      <c r="AJ29" s="18">
        <v>75.599999999999994</v>
      </c>
      <c r="AK29" s="56">
        <v>99.7</v>
      </c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</row>
    <row r="30" spans="1:72" x14ac:dyDescent="0.25">
      <c r="A30" s="20">
        <v>41.88</v>
      </c>
      <c r="B30" s="53" t="str">
        <f t="shared" si="23"/>
        <v>C5</v>
      </c>
      <c r="C30" s="17">
        <v>0.19800000000000004</v>
      </c>
      <c r="D30" s="17">
        <v>0.1443333333333334</v>
      </c>
      <c r="E30" s="17">
        <v>30</v>
      </c>
      <c r="F30" s="54">
        <v>54.4</v>
      </c>
      <c r="G30" s="20"/>
      <c r="H30" s="20"/>
      <c r="I30" s="61">
        <f t="shared" si="24"/>
        <v>12138.937394105489</v>
      </c>
      <c r="J30" s="17">
        <f t="shared" si="25"/>
        <v>2762.7610220556953</v>
      </c>
      <c r="K30" s="54">
        <f t="shared" si="26"/>
        <v>3749.0667069295787</v>
      </c>
      <c r="L30" s="20"/>
      <c r="M30" s="61">
        <f t="shared" si="27"/>
        <v>311118.86725414591</v>
      </c>
      <c r="N30" s="17">
        <f t="shared" si="21"/>
        <v>2762.7610220556953</v>
      </c>
      <c r="O30" s="17">
        <f t="shared" si="22"/>
        <v>369543.21675326396</v>
      </c>
      <c r="P30" s="54"/>
      <c r="Q30" s="19"/>
      <c r="R30" s="53" t="str">
        <f t="shared" si="28"/>
        <v>C5</v>
      </c>
      <c r="S30" s="17">
        <f t="shared" si="29"/>
        <v>9248.1553398058259</v>
      </c>
      <c r="T30" s="17">
        <f>HLOOKUP(A$39,D$39:CN$72,29,FALSE)</f>
        <v>4493.9526610670682</v>
      </c>
      <c r="U30" s="17">
        <f>HLOOKUP(A$153,D$153:CN$243,86,FALSE)</f>
        <v>0</v>
      </c>
      <c r="V30" s="120">
        <f t="shared" si="30"/>
        <v>13742.108000872893</v>
      </c>
      <c r="W30" s="120">
        <f t="shared" si="31"/>
        <v>0</v>
      </c>
      <c r="X30" s="134">
        <f>Foglio2!G23</f>
        <v>92.481553398058267</v>
      </c>
      <c r="Y30" s="140">
        <f t="shared" si="32"/>
        <v>9155.6737864077677</v>
      </c>
      <c r="Z30" s="120">
        <f t="shared" si="33"/>
        <v>0</v>
      </c>
      <c r="AA30" s="120" t="e">
        <f t="shared" si="34"/>
        <v>#DIV/0!</v>
      </c>
      <c r="AB30" s="136">
        <f t="shared" si="35"/>
        <v>0</v>
      </c>
      <c r="AC30" s="41">
        <v>103.67769797281882</v>
      </c>
      <c r="AD30" s="41">
        <f t="shared" si="36"/>
        <v>0</v>
      </c>
      <c r="AE30" s="53" t="s">
        <v>13</v>
      </c>
      <c r="AF30" s="17">
        <v>0.19800000000000004</v>
      </c>
      <c r="AG30" s="17">
        <v>0.1443333333333334</v>
      </c>
      <c r="AH30" s="17">
        <v>30</v>
      </c>
      <c r="AI30" s="17">
        <v>54.4</v>
      </c>
      <c r="AJ30" s="17">
        <v>78.8</v>
      </c>
      <c r="AK30" s="54">
        <v>103.2</v>
      </c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</row>
    <row r="31" spans="1:72" x14ac:dyDescent="0.25">
      <c r="A31" s="20"/>
      <c r="B31" s="55">
        <f t="shared" si="23"/>
        <v>0</v>
      </c>
      <c r="C31" s="18"/>
      <c r="D31" s="18"/>
      <c r="E31" s="18"/>
      <c r="F31" s="56"/>
      <c r="G31" s="20"/>
      <c r="H31" s="20"/>
      <c r="I31" s="62">
        <f t="shared" si="24"/>
        <v>0</v>
      </c>
      <c r="J31" s="18">
        <f t="shared" si="25"/>
        <v>0</v>
      </c>
      <c r="K31" s="56">
        <f t="shared" si="26"/>
        <v>0</v>
      </c>
      <c r="L31" s="20"/>
      <c r="M31" s="62">
        <f t="shared" si="27"/>
        <v>0</v>
      </c>
      <c r="N31" s="18">
        <f t="shared" si="21"/>
        <v>0</v>
      </c>
      <c r="O31" s="18">
        <f t="shared" si="22"/>
        <v>0</v>
      </c>
      <c r="P31" s="56"/>
      <c r="Q31" s="19"/>
      <c r="R31" s="55">
        <f t="shared" si="28"/>
        <v>0</v>
      </c>
      <c r="S31" s="18">
        <f t="shared" si="29"/>
        <v>0</v>
      </c>
      <c r="T31" s="18">
        <f>HLOOKUP(A$39,D$39:CN$72,30,FALSE)</f>
        <v>0</v>
      </c>
      <c r="U31" s="18">
        <f>HLOOKUP(A$153,D$153:CN$243,87,FALSE)</f>
        <v>0</v>
      </c>
      <c r="V31" s="121">
        <f t="shared" si="30"/>
        <v>0</v>
      </c>
      <c r="W31" s="121" t="e">
        <f t="shared" si="31"/>
        <v>#DIV/0!</v>
      </c>
      <c r="X31" s="135">
        <f>Foglio2!G24</f>
        <v>0</v>
      </c>
      <c r="Y31" s="141">
        <f t="shared" si="32"/>
        <v>0</v>
      </c>
      <c r="Z31" s="121" t="e">
        <f t="shared" si="33"/>
        <v>#DIV/0!</v>
      </c>
      <c r="AA31" s="121" t="e">
        <f t="shared" si="34"/>
        <v>#DIV/0!</v>
      </c>
      <c r="AB31" s="136">
        <f t="shared" si="35"/>
        <v>0</v>
      </c>
      <c r="AC31" s="41"/>
      <c r="AD31" s="41"/>
      <c r="AE31" s="55">
        <v>0</v>
      </c>
      <c r="AF31" s="18"/>
      <c r="AG31" s="18"/>
      <c r="AH31" s="18"/>
      <c r="AI31" s="18"/>
      <c r="AJ31" s="18"/>
      <c r="AK31" s="56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</row>
    <row r="32" spans="1:72" x14ac:dyDescent="0.25">
      <c r="A32" s="20"/>
      <c r="B32" s="53">
        <f t="shared" si="23"/>
        <v>0</v>
      </c>
      <c r="C32" s="17"/>
      <c r="D32" s="17"/>
      <c r="E32" s="17"/>
      <c r="F32" s="54"/>
      <c r="G32" s="20"/>
      <c r="H32" s="20"/>
      <c r="I32" s="61">
        <f t="shared" si="24"/>
        <v>0</v>
      </c>
      <c r="J32" s="17">
        <f t="shared" si="25"/>
        <v>0</v>
      </c>
      <c r="K32" s="54">
        <f t="shared" si="26"/>
        <v>0</v>
      </c>
      <c r="L32" s="20"/>
      <c r="M32" s="61">
        <f t="shared" si="27"/>
        <v>0</v>
      </c>
      <c r="N32" s="17">
        <f t="shared" si="21"/>
        <v>0</v>
      </c>
      <c r="O32" s="17">
        <f t="shared" si="22"/>
        <v>0</v>
      </c>
      <c r="P32" s="54"/>
      <c r="Q32" s="19"/>
      <c r="R32" s="53">
        <f t="shared" si="28"/>
        <v>0</v>
      </c>
      <c r="S32" s="17">
        <f t="shared" si="29"/>
        <v>0</v>
      </c>
      <c r="T32" s="17">
        <f>HLOOKUP(A$39,D$39:CN$72,31,FALSE)</f>
        <v>0</v>
      </c>
      <c r="U32" s="17">
        <f>HLOOKUP(A$153,D$153:CN$243,88,FALSE)</f>
        <v>0</v>
      </c>
      <c r="V32" s="120">
        <f t="shared" si="30"/>
        <v>0</v>
      </c>
      <c r="W32" s="120" t="e">
        <f t="shared" si="31"/>
        <v>#DIV/0!</v>
      </c>
      <c r="X32" s="134">
        <f>Foglio2!G25</f>
        <v>0</v>
      </c>
      <c r="Y32" s="140">
        <f t="shared" si="32"/>
        <v>0</v>
      </c>
      <c r="Z32" s="120" t="e">
        <f t="shared" si="33"/>
        <v>#DIV/0!</v>
      </c>
      <c r="AA32" s="120" t="e">
        <f t="shared" si="34"/>
        <v>#DIV/0!</v>
      </c>
      <c r="AB32" s="136">
        <f t="shared" si="35"/>
        <v>0</v>
      </c>
      <c r="AC32" s="41"/>
      <c r="AD32" s="41"/>
      <c r="AE32" s="53">
        <v>0</v>
      </c>
      <c r="AF32" s="17"/>
      <c r="AG32" s="17"/>
      <c r="AH32" s="17"/>
      <c r="AI32" s="17"/>
      <c r="AJ32" s="17"/>
      <c r="AK32" s="54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</row>
    <row r="33" spans="1:72" x14ac:dyDescent="0.25">
      <c r="A33" s="20"/>
      <c r="B33" s="55">
        <f t="shared" si="23"/>
        <v>0</v>
      </c>
      <c r="C33" s="18"/>
      <c r="D33" s="18"/>
      <c r="E33" s="18"/>
      <c r="F33" s="56"/>
      <c r="G33" s="20"/>
      <c r="H33" s="20"/>
      <c r="I33" s="62">
        <f t="shared" si="24"/>
        <v>0</v>
      </c>
      <c r="J33" s="18">
        <f t="shared" si="25"/>
        <v>0</v>
      </c>
      <c r="K33" s="56">
        <f t="shared" si="26"/>
        <v>0</v>
      </c>
      <c r="L33" s="20"/>
      <c r="M33" s="62">
        <f t="shared" si="27"/>
        <v>0</v>
      </c>
      <c r="N33" s="18">
        <f t="shared" si="21"/>
        <v>0</v>
      </c>
      <c r="O33" s="18">
        <f t="shared" si="22"/>
        <v>0</v>
      </c>
      <c r="P33" s="56"/>
      <c r="Q33" s="19"/>
      <c r="R33" s="55">
        <f t="shared" si="28"/>
        <v>0</v>
      </c>
      <c r="S33" s="18">
        <f t="shared" si="29"/>
        <v>0</v>
      </c>
      <c r="T33" s="18">
        <f>HLOOKUP(A$39,D$39:CN$72,32,FALSE)</f>
        <v>0</v>
      </c>
      <c r="U33" s="18">
        <f>HLOOKUP(A$153,D$153:CN$243,89,FALSE)</f>
        <v>0</v>
      </c>
      <c r="V33" s="121">
        <f t="shared" si="30"/>
        <v>0</v>
      </c>
      <c r="W33" s="121" t="e">
        <f t="shared" si="31"/>
        <v>#DIV/0!</v>
      </c>
      <c r="X33" s="135">
        <f>Foglio2!G26</f>
        <v>0</v>
      </c>
      <c r="Y33" s="141">
        <f t="shared" si="32"/>
        <v>0</v>
      </c>
      <c r="Z33" s="121" t="e">
        <f t="shared" si="33"/>
        <v>#DIV/0!</v>
      </c>
      <c r="AA33" s="121" t="e">
        <f t="shared" si="34"/>
        <v>#DIV/0!</v>
      </c>
      <c r="AB33" s="136">
        <f t="shared" si="35"/>
        <v>0</v>
      </c>
      <c r="AC33" s="41"/>
      <c r="AD33" s="41"/>
      <c r="AE33" s="55">
        <v>0</v>
      </c>
      <c r="AF33" s="18"/>
      <c r="AG33" s="18"/>
      <c r="AH33" s="18"/>
      <c r="AI33" s="18"/>
      <c r="AJ33" s="18"/>
      <c r="AK33" s="56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</row>
    <row r="34" spans="1:72" x14ac:dyDescent="0.25">
      <c r="A34" s="20">
        <v>4</v>
      </c>
      <c r="B34" s="53">
        <f t="shared" si="23"/>
        <v>0</v>
      </c>
      <c r="C34" s="17"/>
      <c r="D34" s="17"/>
      <c r="E34" s="17"/>
      <c r="F34" s="54"/>
      <c r="G34" s="20"/>
      <c r="H34" s="20"/>
      <c r="I34" s="61">
        <f t="shared" si="24"/>
        <v>0</v>
      </c>
      <c r="J34" s="17">
        <f t="shared" si="25"/>
        <v>0</v>
      </c>
      <c r="K34" s="54">
        <f t="shared" si="26"/>
        <v>0</v>
      </c>
      <c r="L34" s="20"/>
      <c r="M34" s="61">
        <f t="shared" si="27"/>
        <v>0</v>
      </c>
      <c r="N34" s="17">
        <f t="shared" si="21"/>
        <v>0</v>
      </c>
      <c r="O34" s="17">
        <f t="shared" si="22"/>
        <v>0</v>
      </c>
      <c r="P34" s="54"/>
      <c r="Q34" s="19"/>
      <c r="R34" s="53">
        <f t="shared" si="28"/>
        <v>0</v>
      </c>
      <c r="S34" s="17">
        <f t="shared" si="29"/>
        <v>0</v>
      </c>
      <c r="T34" s="17">
        <f>HLOOKUP(A$39,D$39:CN$72,33,FALSE)</f>
        <v>0</v>
      </c>
      <c r="U34" s="17">
        <f>HLOOKUP(A$153,D$153:CN$243,90,FALSE)</f>
        <v>0</v>
      </c>
      <c r="V34" s="120">
        <f t="shared" si="30"/>
        <v>0</v>
      </c>
      <c r="W34" s="120" t="e">
        <f t="shared" si="31"/>
        <v>#DIV/0!</v>
      </c>
      <c r="X34" s="134">
        <f>Foglio2!G27</f>
        <v>0</v>
      </c>
      <c r="Y34" s="140">
        <f t="shared" si="32"/>
        <v>0</v>
      </c>
      <c r="Z34" s="120" t="e">
        <f t="shared" si="33"/>
        <v>#DIV/0!</v>
      </c>
      <c r="AA34" s="120" t="e">
        <f t="shared" si="34"/>
        <v>#DIV/0!</v>
      </c>
      <c r="AB34" s="136">
        <f t="shared" si="35"/>
        <v>0</v>
      </c>
      <c r="AC34" s="41"/>
      <c r="AD34" s="41"/>
      <c r="AE34" s="53">
        <v>0</v>
      </c>
      <c r="AF34" s="17"/>
      <c r="AG34" s="17"/>
      <c r="AH34" s="17"/>
      <c r="AI34" s="17"/>
      <c r="AJ34" s="17"/>
      <c r="AK34" s="54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</row>
    <row r="35" spans="1:72" x14ac:dyDescent="0.25">
      <c r="A35" s="20"/>
      <c r="B35" s="57">
        <f t="shared" si="23"/>
        <v>0</v>
      </c>
      <c r="C35" s="58"/>
      <c r="D35" s="58"/>
      <c r="E35" s="58"/>
      <c r="F35" s="59"/>
      <c r="G35" s="20"/>
      <c r="H35" s="20"/>
      <c r="I35" s="63">
        <f t="shared" si="24"/>
        <v>0</v>
      </c>
      <c r="J35" s="58">
        <f t="shared" si="25"/>
        <v>0</v>
      </c>
      <c r="K35" s="59">
        <f t="shared" si="26"/>
        <v>0</v>
      </c>
      <c r="L35" s="20"/>
      <c r="M35" s="63">
        <f t="shared" si="27"/>
        <v>0</v>
      </c>
      <c r="N35" s="58">
        <f t="shared" si="21"/>
        <v>0</v>
      </c>
      <c r="O35" s="58">
        <f t="shared" si="22"/>
        <v>0</v>
      </c>
      <c r="P35" s="59"/>
      <c r="Q35" s="19"/>
      <c r="R35" s="57">
        <f t="shared" si="28"/>
        <v>0</v>
      </c>
      <c r="S35" s="58">
        <f t="shared" si="29"/>
        <v>0</v>
      </c>
      <c r="T35" s="58">
        <f>HLOOKUP(A$39,D$39:CN$72,34,FALSE)</f>
        <v>0</v>
      </c>
      <c r="U35" s="58">
        <f>HLOOKUP(A$153,D$153:CN$243,91,FALSE)</f>
        <v>0</v>
      </c>
      <c r="V35" s="121">
        <f t="shared" si="30"/>
        <v>0</v>
      </c>
      <c r="W35" s="121" t="e">
        <f t="shared" si="31"/>
        <v>#DIV/0!</v>
      </c>
      <c r="X35" s="135">
        <f>Foglio2!G28</f>
        <v>0</v>
      </c>
      <c r="Y35" s="141">
        <f t="shared" si="32"/>
        <v>0</v>
      </c>
      <c r="Z35" s="121" t="e">
        <f t="shared" si="33"/>
        <v>#DIV/0!</v>
      </c>
      <c r="AA35" s="121" t="e">
        <f t="shared" si="34"/>
        <v>#DIV/0!</v>
      </c>
      <c r="AB35" s="136">
        <f t="shared" si="35"/>
        <v>0</v>
      </c>
      <c r="AC35" s="41"/>
      <c r="AD35" s="41"/>
      <c r="AE35" s="57">
        <v>0</v>
      </c>
      <c r="AF35" s="58"/>
      <c r="AG35" s="58"/>
      <c r="AH35" s="58"/>
      <c r="AI35" s="58"/>
      <c r="AJ35" s="58"/>
      <c r="AK35" s="59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</row>
    <row r="36" spans="1:72" ht="15.75" thickBot="1" x14ac:dyDescent="0.3">
      <c r="A36" s="20"/>
      <c r="B36" s="19"/>
      <c r="C36" s="19"/>
      <c r="D36" s="19"/>
      <c r="E36" s="19"/>
      <c r="F36" s="19"/>
      <c r="G36" s="20"/>
      <c r="H36" s="20"/>
      <c r="I36" s="19">
        <f>SUM(I26:I35)</f>
        <v>1544275.9362906702</v>
      </c>
      <c r="J36" s="19">
        <f>SUM(J26:J35)</f>
        <v>377494.87289901834</v>
      </c>
      <c r="K36" s="19">
        <f>SUM(K26:K35)</f>
        <v>512260.54252396792</v>
      </c>
      <c r="L36" s="20"/>
      <c r="M36" s="19">
        <f>SUM(M26:M35)</f>
        <v>901043.15587604197</v>
      </c>
      <c r="N36" s="19">
        <f>SUM(N26:N35)</f>
        <v>377494.87289901834</v>
      </c>
      <c r="O36" s="19">
        <f>SUM(O26:O35)</f>
        <v>571516.27033332386</v>
      </c>
      <c r="P36" s="19">
        <f>SUM(P26:P35)</f>
        <v>0</v>
      </c>
      <c r="Q36" s="19"/>
      <c r="R36" s="41"/>
      <c r="S36" s="41"/>
      <c r="T36" s="41"/>
      <c r="U36" s="41"/>
      <c r="V36" s="41"/>
      <c r="W36" s="41"/>
      <c r="X36" s="173" t="s">
        <v>231</v>
      </c>
      <c r="Y36" s="137"/>
      <c r="Z36" s="41"/>
      <c r="AA36" s="41"/>
      <c r="AB36" s="41"/>
      <c r="AC36" s="41"/>
      <c r="AD36" s="41"/>
      <c r="AE36" s="41"/>
      <c r="AF36" s="41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</row>
    <row r="37" spans="1:72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73"/>
      <c r="Y37" s="41"/>
      <c r="Z37" s="41"/>
      <c r="AA37" s="41"/>
      <c r="AB37" s="41"/>
      <c r="AC37" s="41"/>
      <c r="AD37" s="41"/>
      <c r="AE37" s="41"/>
      <c r="AF37" s="41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</row>
    <row r="38" spans="1:72" ht="15.75" thickBot="1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74"/>
      <c r="Y38" s="19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</row>
    <row r="39" spans="1:72" s="100" customFormat="1" ht="28.5" x14ac:dyDescent="0.45">
      <c r="A39" s="97">
        <f>MAXA(D39:NG39)</f>
        <v>9</v>
      </c>
      <c r="B39" s="98" t="s">
        <v>192</v>
      </c>
      <c r="C39" s="98"/>
      <c r="D39" s="98">
        <f t="shared" ref="D39:L39" si="37">C39+1</f>
        <v>1</v>
      </c>
      <c r="E39" s="98">
        <f t="shared" si="37"/>
        <v>2</v>
      </c>
      <c r="F39" s="98">
        <f t="shared" si="37"/>
        <v>3</v>
      </c>
      <c r="G39" s="98">
        <f t="shared" si="37"/>
        <v>4</v>
      </c>
      <c r="H39" s="98">
        <f t="shared" si="37"/>
        <v>5</v>
      </c>
      <c r="I39" s="98">
        <f t="shared" si="37"/>
        <v>6</v>
      </c>
      <c r="J39" s="98">
        <f t="shared" si="37"/>
        <v>7</v>
      </c>
      <c r="K39" s="98">
        <f t="shared" si="37"/>
        <v>8</v>
      </c>
      <c r="L39" s="98">
        <f t="shared" si="37"/>
        <v>9</v>
      </c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9"/>
      <c r="BR39" s="99"/>
      <c r="BS39" s="99"/>
      <c r="BT39" s="99"/>
    </row>
    <row r="40" spans="1:72" x14ac:dyDescent="0.25">
      <c r="A40" s="19"/>
      <c r="B40" s="19" t="s">
        <v>100</v>
      </c>
      <c r="C40" s="19"/>
      <c r="D40" s="84">
        <f t="shared" ref="D40:L41" si="38">C118</f>
        <v>68.927654226786728</v>
      </c>
      <c r="E40" s="84">
        <f t="shared" si="38"/>
        <v>72.96429969642567</v>
      </c>
      <c r="F40" s="84">
        <f t="shared" si="38"/>
        <v>75.502739818313628</v>
      </c>
      <c r="G40" s="84">
        <f t="shared" si="38"/>
        <v>77.666966691539258</v>
      </c>
      <c r="H40" s="84">
        <f t="shared" si="38"/>
        <v>79.642195431606737</v>
      </c>
      <c r="I40" s="84">
        <f t="shared" si="38"/>
        <v>81.388110141371257</v>
      </c>
      <c r="J40" s="84">
        <f t="shared" si="38"/>
        <v>82.852820696063048</v>
      </c>
      <c r="K40" s="84">
        <f t="shared" si="38"/>
        <v>84.027518972002142</v>
      </c>
      <c r="L40" s="84">
        <f t="shared" si="38"/>
        <v>84.942014309298273</v>
      </c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44"/>
      <c r="BR40" s="44"/>
      <c r="BS40" s="44"/>
      <c r="BT40" s="44"/>
    </row>
    <row r="41" spans="1:72" x14ac:dyDescent="0.25">
      <c r="A41" s="164" t="s">
        <v>194</v>
      </c>
      <c r="B41" s="108" t="s">
        <v>101</v>
      </c>
      <c r="C41" s="109"/>
      <c r="D41" s="85">
        <f t="shared" si="38"/>
        <v>36498.846117206675</v>
      </c>
      <c r="E41" s="85">
        <f t="shared" si="38"/>
        <v>36526.809252144711</v>
      </c>
      <c r="F41" s="85">
        <f t="shared" si="38"/>
        <v>36168.046712460069</v>
      </c>
      <c r="G41" s="85">
        <f t="shared" si="38"/>
        <v>35684.270063757256</v>
      </c>
      <c r="H41" s="85">
        <f t="shared" si="38"/>
        <v>35207.843709466993</v>
      </c>
      <c r="I41" s="85">
        <f t="shared" si="38"/>
        <v>34794.901741600668</v>
      </c>
      <c r="J41" s="85">
        <f t="shared" si="38"/>
        <v>34462.84507899556</v>
      </c>
      <c r="K41" s="85">
        <f t="shared" si="38"/>
        <v>34206.873430555133</v>
      </c>
      <c r="L41" s="85">
        <f t="shared" si="38"/>
        <v>34012.673737743607</v>
      </c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  <c r="BG41" s="85"/>
      <c r="BH41" s="85"/>
      <c r="BI41" s="85"/>
      <c r="BJ41" s="85"/>
      <c r="BK41" s="85"/>
      <c r="BL41" s="85"/>
      <c r="BM41" s="85"/>
      <c r="BN41" s="85"/>
      <c r="BO41" s="85"/>
      <c r="BP41" s="85"/>
      <c r="BQ41" s="44"/>
      <c r="BR41" s="44"/>
      <c r="BS41" s="44"/>
      <c r="BT41" s="44"/>
    </row>
    <row r="42" spans="1:72" x14ac:dyDescent="0.25">
      <c r="A42" s="165"/>
      <c r="B42" s="110" t="s">
        <v>86</v>
      </c>
      <c r="C42" s="111"/>
      <c r="D42" s="85">
        <f t="shared" ref="D42:L51" si="39">C120</f>
        <v>5040.2087999999985</v>
      </c>
      <c r="E42" s="85">
        <f t="shared" si="39"/>
        <v>3141.2709974928539</v>
      </c>
      <c r="F42" s="85">
        <f t="shared" si="39"/>
        <v>2708.3391993490995</v>
      </c>
      <c r="G42" s="85">
        <f t="shared" si="39"/>
        <v>2601.3691557809534</v>
      </c>
      <c r="H42" s="85">
        <f t="shared" si="39"/>
        <v>2561.8740893024515</v>
      </c>
      <c r="I42" s="85">
        <f t="shared" si="39"/>
        <v>2538.1384131000796</v>
      </c>
      <c r="J42" s="85">
        <f t="shared" si="39"/>
        <v>2520.4915984160521</v>
      </c>
      <c r="K42" s="85">
        <f t="shared" si="39"/>
        <v>2506.9309260054929</v>
      </c>
      <c r="L42" s="85">
        <f t="shared" si="39"/>
        <v>2496.6151067263595</v>
      </c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/>
      <c r="BE42" s="85"/>
      <c r="BF42" s="85"/>
      <c r="BG42" s="85"/>
      <c r="BH42" s="85"/>
      <c r="BI42" s="85"/>
      <c r="BJ42" s="85"/>
      <c r="BK42" s="85"/>
      <c r="BL42" s="85"/>
      <c r="BM42" s="85"/>
      <c r="BN42" s="85"/>
      <c r="BO42" s="85"/>
      <c r="BP42" s="85"/>
      <c r="BQ42" s="44"/>
      <c r="BR42" s="44"/>
      <c r="BS42" s="44"/>
      <c r="BT42" s="44"/>
    </row>
    <row r="43" spans="1:72" x14ac:dyDescent="0.25">
      <c r="A43" s="165"/>
      <c r="B43" s="110" t="s">
        <v>102</v>
      </c>
      <c r="C43" s="111"/>
      <c r="D43" s="85">
        <f t="shared" si="39"/>
        <v>11477.101966265058</v>
      </c>
      <c r="E43" s="85">
        <f t="shared" si="39"/>
        <v>10263.32657538752</v>
      </c>
      <c r="F43" s="85">
        <f t="shared" si="39"/>
        <v>9221.5209120896689</v>
      </c>
      <c r="G43" s="85">
        <f t="shared" si="39"/>
        <v>8529.7896387687015</v>
      </c>
      <c r="H43" s="85">
        <f t="shared" si="39"/>
        <v>8076.2709380370516</v>
      </c>
      <c r="I43" s="85">
        <f t="shared" si="39"/>
        <v>7765.599025727146</v>
      </c>
      <c r="J43" s="85">
        <f t="shared" si="39"/>
        <v>7544.7407723291417</v>
      </c>
      <c r="K43" s="85">
        <f t="shared" si="39"/>
        <v>7385.0668600258523</v>
      </c>
      <c r="L43" s="85">
        <f t="shared" si="39"/>
        <v>7269.1128056594207</v>
      </c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  <c r="AT43" s="85"/>
      <c r="AU43" s="85"/>
      <c r="AV43" s="85"/>
      <c r="AW43" s="85"/>
      <c r="AX43" s="85"/>
      <c r="AY43" s="85"/>
      <c r="AZ43" s="85"/>
      <c r="BA43" s="85"/>
      <c r="BB43" s="85"/>
      <c r="BC43" s="85"/>
      <c r="BD43" s="85"/>
      <c r="BE43" s="85"/>
      <c r="BF43" s="85"/>
      <c r="BG43" s="85"/>
      <c r="BH43" s="85"/>
      <c r="BI43" s="85"/>
      <c r="BJ43" s="85"/>
      <c r="BK43" s="85"/>
      <c r="BL43" s="85"/>
      <c r="BM43" s="85"/>
      <c r="BN43" s="85"/>
      <c r="BO43" s="85"/>
      <c r="BP43" s="85"/>
      <c r="BQ43" s="44"/>
      <c r="BR43" s="44"/>
      <c r="BS43" s="44"/>
      <c r="BT43" s="44"/>
    </row>
    <row r="44" spans="1:72" x14ac:dyDescent="0.25">
      <c r="A44" s="165"/>
      <c r="B44" s="110" t="s">
        <v>103</v>
      </c>
      <c r="C44" s="111"/>
      <c r="D44" s="85">
        <f t="shared" si="39"/>
        <v>18904.290812349387</v>
      </c>
      <c r="E44" s="85">
        <f t="shared" si="39"/>
        <v>21066.382553313531</v>
      </c>
      <c r="F44" s="85">
        <f t="shared" si="39"/>
        <v>21061.391410469889</v>
      </c>
      <c r="G44" s="85">
        <f t="shared" si="39"/>
        <v>20181.16200309652</v>
      </c>
      <c r="H44" s="85">
        <f t="shared" si="39"/>
        <v>19023.886631877744</v>
      </c>
      <c r="I44" s="85">
        <f t="shared" si="39"/>
        <v>17887.295136121276</v>
      </c>
      <c r="J44" s="85">
        <f t="shared" si="39"/>
        <v>16912.100806172632</v>
      </c>
      <c r="K44" s="85">
        <f t="shared" si="39"/>
        <v>16141.023118783309</v>
      </c>
      <c r="L44" s="85">
        <f t="shared" si="39"/>
        <v>15561.604408015544</v>
      </c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85"/>
      <c r="AN44" s="85"/>
      <c r="AO44" s="85"/>
      <c r="AP44" s="85"/>
      <c r="AQ44" s="85"/>
      <c r="AR44" s="85"/>
      <c r="AS44" s="85"/>
      <c r="AT44" s="85"/>
      <c r="AU44" s="85"/>
      <c r="AV44" s="85"/>
      <c r="AW44" s="85"/>
      <c r="AX44" s="85"/>
      <c r="AY44" s="85"/>
      <c r="AZ44" s="85"/>
      <c r="BA44" s="85"/>
      <c r="BB44" s="85"/>
      <c r="BC44" s="85"/>
      <c r="BD44" s="85"/>
      <c r="BE44" s="85"/>
      <c r="BF44" s="85"/>
      <c r="BG44" s="85"/>
      <c r="BH44" s="85"/>
      <c r="BI44" s="85"/>
      <c r="BJ44" s="85"/>
      <c r="BK44" s="85"/>
      <c r="BL44" s="85"/>
      <c r="BM44" s="85"/>
      <c r="BN44" s="85"/>
      <c r="BO44" s="85"/>
      <c r="BP44" s="85"/>
      <c r="BQ44" s="44"/>
      <c r="BR44" s="44"/>
      <c r="BS44" s="44"/>
      <c r="BT44" s="44"/>
    </row>
    <row r="45" spans="1:72" x14ac:dyDescent="0.25">
      <c r="A45" s="165"/>
      <c r="B45" s="110" t="s">
        <v>104</v>
      </c>
      <c r="C45" s="111"/>
      <c r="D45" s="85">
        <f t="shared" si="39"/>
        <v>859.26551723300986</v>
      </c>
      <c r="E45" s="85">
        <f t="shared" si="39"/>
        <v>1578.5755011588797</v>
      </c>
      <c r="F45" s="85">
        <f t="shared" si="39"/>
        <v>2341.6174806594117</v>
      </c>
      <c r="G45" s="85">
        <f t="shared" si="39"/>
        <v>3080.1511147557167</v>
      </c>
      <c r="H45" s="85">
        <f t="shared" si="39"/>
        <v>3717.1778877002771</v>
      </c>
      <c r="I45" s="85">
        <f t="shared" si="39"/>
        <v>4192.3052736181862</v>
      </c>
      <c r="J45" s="85">
        <f t="shared" si="39"/>
        <v>4482.3713778635674</v>
      </c>
      <c r="K45" s="85">
        <f t="shared" si="39"/>
        <v>4600.5235407514328</v>
      </c>
      <c r="L45" s="85">
        <f t="shared" si="39"/>
        <v>4581.5483834971365</v>
      </c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  <c r="AU45" s="85"/>
      <c r="AV45" s="85"/>
      <c r="AW45" s="85"/>
      <c r="AX45" s="85"/>
      <c r="AY45" s="85"/>
      <c r="AZ45" s="85"/>
      <c r="BA45" s="85"/>
      <c r="BB45" s="85"/>
      <c r="BC45" s="85"/>
      <c r="BD45" s="85"/>
      <c r="BE45" s="85"/>
      <c r="BF45" s="85"/>
      <c r="BG45" s="85"/>
      <c r="BH45" s="85"/>
      <c r="BI45" s="85"/>
      <c r="BJ45" s="85"/>
      <c r="BK45" s="85"/>
      <c r="BL45" s="85"/>
      <c r="BM45" s="85"/>
      <c r="BN45" s="85"/>
      <c r="BO45" s="85"/>
      <c r="BP45" s="85"/>
      <c r="BQ45" s="44"/>
      <c r="BR45" s="44"/>
      <c r="BS45" s="44"/>
      <c r="BT45" s="44"/>
    </row>
    <row r="46" spans="1:72" x14ac:dyDescent="0.25">
      <c r="A46" s="165"/>
      <c r="B46" s="110" t="s">
        <v>105</v>
      </c>
      <c r="C46" s="111"/>
      <c r="D46" s="85">
        <f t="shared" si="39"/>
        <v>217.97902135922331</v>
      </c>
      <c r="E46" s="85">
        <f t="shared" si="39"/>
        <v>477.25362479199822</v>
      </c>
      <c r="F46" s="85">
        <f t="shared" si="39"/>
        <v>835.14822783457907</v>
      </c>
      <c r="G46" s="85">
        <f t="shared" si="39"/>
        <v>1291.7729455757935</v>
      </c>
      <c r="H46" s="85">
        <f t="shared" si="39"/>
        <v>1828.5616317127549</v>
      </c>
      <c r="I46" s="85">
        <f t="shared" si="39"/>
        <v>2411.4397760110496</v>
      </c>
      <c r="J46" s="85">
        <f t="shared" si="39"/>
        <v>3002.9782526868134</v>
      </c>
      <c r="K46" s="85">
        <f t="shared" si="39"/>
        <v>3573.1508220789442</v>
      </c>
      <c r="L46" s="85">
        <f t="shared" si="39"/>
        <v>4103.6203486827144</v>
      </c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5"/>
      <c r="BN46" s="85"/>
      <c r="BO46" s="85"/>
      <c r="BP46" s="85"/>
      <c r="BQ46" s="44"/>
      <c r="BR46" s="44"/>
      <c r="BS46" s="44"/>
      <c r="BT46" s="44"/>
    </row>
    <row r="47" spans="1:72" x14ac:dyDescent="0.25">
      <c r="A47" s="165"/>
      <c r="B47" s="110" t="s">
        <v>170</v>
      </c>
      <c r="C47" s="111"/>
      <c r="D47" s="85">
        <f t="shared" si="39"/>
        <v>0</v>
      </c>
      <c r="E47" s="85">
        <f t="shared" si="39"/>
        <v>0</v>
      </c>
      <c r="F47" s="85">
        <f t="shared" si="39"/>
        <v>0</v>
      </c>
      <c r="G47" s="85">
        <f t="shared" si="39"/>
        <v>0</v>
      </c>
      <c r="H47" s="85">
        <f t="shared" si="39"/>
        <v>0</v>
      </c>
      <c r="I47" s="85">
        <f t="shared" si="39"/>
        <v>0</v>
      </c>
      <c r="J47" s="85">
        <f t="shared" si="39"/>
        <v>0</v>
      </c>
      <c r="K47" s="85">
        <f t="shared" si="39"/>
        <v>0</v>
      </c>
      <c r="L47" s="85">
        <f t="shared" si="39"/>
        <v>0</v>
      </c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85"/>
      <c r="AN47" s="85"/>
      <c r="AO47" s="85"/>
      <c r="AP47" s="85"/>
      <c r="AQ47" s="85"/>
      <c r="AR47" s="85"/>
      <c r="AS47" s="85"/>
      <c r="AT47" s="85"/>
      <c r="AU47" s="85"/>
      <c r="AV47" s="85"/>
      <c r="AW47" s="85"/>
      <c r="AX47" s="85"/>
      <c r="AY47" s="85"/>
      <c r="AZ47" s="85"/>
      <c r="BA47" s="85"/>
      <c r="BB47" s="85"/>
      <c r="BC47" s="85"/>
      <c r="BD47" s="85"/>
      <c r="BE47" s="85"/>
      <c r="BF47" s="85"/>
      <c r="BG47" s="85"/>
      <c r="BH47" s="85"/>
      <c r="BI47" s="85"/>
      <c r="BJ47" s="85"/>
      <c r="BK47" s="85"/>
      <c r="BL47" s="85"/>
      <c r="BM47" s="85"/>
      <c r="BN47" s="85"/>
      <c r="BO47" s="85"/>
      <c r="BP47" s="85"/>
      <c r="BQ47" s="44"/>
      <c r="BR47" s="44"/>
      <c r="BS47" s="44"/>
      <c r="BT47" s="44"/>
    </row>
    <row r="48" spans="1:72" x14ac:dyDescent="0.25">
      <c r="A48" s="165"/>
      <c r="B48" s="110" t="s">
        <v>171</v>
      </c>
      <c r="C48" s="111"/>
      <c r="D48" s="85">
        <f t="shared" si="39"/>
        <v>0</v>
      </c>
      <c r="E48" s="85">
        <f t="shared" si="39"/>
        <v>0</v>
      </c>
      <c r="F48" s="85">
        <f t="shared" si="39"/>
        <v>0</v>
      </c>
      <c r="G48" s="85">
        <f t="shared" si="39"/>
        <v>0</v>
      </c>
      <c r="H48" s="85">
        <f t="shared" si="39"/>
        <v>0</v>
      </c>
      <c r="I48" s="85">
        <f t="shared" si="39"/>
        <v>0</v>
      </c>
      <c r="J48" s="85">
        <f t="shared" si="39"/>
        <v>0</v>
      </c>
      <c r="K48" s="85">
        <f t="shared" si="39"/>
        <v>0</v>
      </c>
      <c r="L48" s="85">
        <f t="shared" si="39"/>
        <v>0</v>
      </c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85"/>
      <c r="AN48" s="85"/>
      <c r="AO48" s="85"/>
      <c r="AP48" s="85"/>
      <c r="AQ48" s="85"/>
      <c r="AR48" s="85"/>
      <c r="AS48" s="85"/>
      <c r="AT48" s="85"/>
      <c r="AU48" s="85"/>
      <c r="AV48" s="85"/>
      <c r="AW48" s="85"/>
      <c r="AX48" s="85"/>
      <c r="AY48" s="85"/>
      <c r="AZ48" s="85"/>
      <c r="BA48" s="85"/>
      <c r="BB48" s="85"/>
      <c r="BC48" s="85"/>
      <c r="BD48" s="85"/>
      <c r="BE48" s="85"/>
      <c r="BF48" s="85"/>
      <c r="BG48" s="85"/>
      <c r="BH48" s="85"/>
      <c r="BI48" s="85"/>
      <c r="BJ48" s="85"/>
      <c r="BK48" s="85"/>
      <c r="BL48" s="85"/>
      <c r="BM48" s="85"/>
      <c r="BN48" s="85"/>
      <c r="BO48" s="85"/>
      <c r="BP48" s="85"/>
      <c r="BQ48" s="44"/>
      <c r="BR48" s="44"/>
      <c r="BS48" s="44"/>
      <c r="BT48" s="44"/>
    </row>
    <row r="49" spans="1:72" x14ac:dyDescent="0.25">
      <c r="A49" s="165"/>
      <c r="B49" s="110" t="s">
        <v>172</v>
      </c>
      <c r="C49" s="111"/>
      <c r="D49" s="85">
        <f t="shared" si="39"/>
        <v>0</v>
      </c>
      <c r="E49" s="85">
        <f t="shared" si="39"/>
        <v>0</v>
      </c>
      <c r="F49" s="85">
        <f t="shared" si="39"/>
        <v>0</v>
      </c>
      <c r="G49" s="85">
        <f t="shared" si="39"/>
        <v>0</v>
      </c>
      <c r="H49" s="85">
        <f t="shared" si="39"/>
        <v>0</v>
      </c>
      <c r="I49" s="85">
        <f t="shared" si="39"/>
        <v>0</v>
      </c>
      <c r="J49" s="85">
        <f t="shared" si="39"/>
        <v>0</v>
      </c>
      <c r="K49" s="85">
        <f t="shared" si="39"/>
        <v>0</v>
      </c>
      <c r="L49" s="85">
        <f t="shared" si="39"/>
        <v>0</v>
      </c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  <c r="AU49" s="85"/>
      <c r="AV49" s="85"/>
      <c r="AW49" s="85"/>
      <c r="AX49" s="85"/>
      <c r="AY49" s="85"/>
      <c r="AZ49" s="85"/>
      <c r="BA49" s="85"/>
      <c r="BB49" s="85"/>
      <c r="BC49" s="85"/>
      <c r="BD49" s="85"/>
      <c r="BE49" s="85"/>
      <c r="BF49" s="85"/>
      <c r="BG49" s="85"/>
      <c r="BH49" s="85"/>
      <c r="BI49" s="85"/>
      <c r="BJ49" s="85"/>
      <c r="BK49" s="85"/>
      <c r="BL49" s="85"/>
      <c r="BM49" s="85"/>
      <c r="BN49" s="85"/>
      <c r="BO49" s="85"/>
      <c r="BP49" s="85"/>
      <c r="BQ49" s="44"/>
      <c r="BR49" s="44"/>
      <c r="BS49" s="44"/>
      <c r="BT49" s="44"/>
    </row>
    <row r="50" spans="1:72" x14ac:dyDescent="0.25">
      <c r="A50" s="165"/>
      <c r="B50" s="110" t="s">
        <v>173</v>
      </c>
      <c r="C50" s="111"/>
      <c r="D50" s="85">
        <f t="shared" si="39"/>
        <v>0</v>
      </c>
      <c r="E50" s="85">
        <f t="shared" si="39"/>
        <v>0</v>
      </c>
      <c r="F50" s="85">
        <f t="shared" si="39"/>
        <v>0</v>
      </c>
      <c r="G50" s="85">
        <f t="shared" si="39"/>
        <v>0</v>
      </c>
      <c r="H50" s="85">
        <f t="shared" si="39"/>
        <v>0</v>
      </c>
      <c r="I50" s="85">
        <f t="shared" si="39"/>
        <v>0</v>
      </c>
      <c r="J50" s="85">
        <f t="shared" si="39"/>
        <v>0</v>
      </c>
      <c r="K50" s="85">
        <f t="shared" si="39"/>
        <v>0</v>
      </c>
      <c r="L50" s="85">
        <f t="shared" si="39"/>
        <v>0</v>
      </c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  <c r="AT50" s="85"/>
      <c r="AU50" s="85"/>
      <c r="AV50" s="85"/>
      <c r="AW50" s="85"/>
      <c r="AX50" s="85"/>
      <c r="AY50" s="85"/>
      <c r="AZ50" s="85"/>
      <c r="BA50" s="85"/>
      <c r="BB50" s="85"/>
      <c r="BC50" s="85"/>
      <c r="BD50" s="85"/>
      <c r="BE50" s="85"/>
      <c r="BF50" s="85"/>
      <c r="BG50" s="85"/>
      <c r="BH50" s="85"/>
      <c r="BI50" s="85"/>
      <c r="BJ50" s="85"/>
      <c r="BK50" s="85"/>
      <c r="BL50" s="85"/>
      <c r="BM50" s="85"/>
      <c r="BN50" s="85"/>
      <c r="BO50" s="85"/>
      <c r="BP50" s="85"/>
      <c r="BQ50" s="44"/>
      <c r="BR50" s="44"/>
      <c r="BS50" s="44"/>
      <c r="BT50" s="44"/>
    </row>
    <row r="51" spans="1:72" x14ac:dyDescent="0.25">
      <c r="A51" s="165"/>
      <c r="B51" s="110" t="s">
        <v>174</v>
      </c>
      <c r="C51" s="111"/>
      <c r="D51" s="85">
        <f t="shared" si="39"/>
        <v>0</v>
      </c>
      <c r="E51" s="85">
        <f t="shared" si="39"/>
        <v>0</v>
      </c>
      <c r="F51" s="85">
        <f t="shared" si="39"/>
        <v>0</v>
      </c>
      <c r="G51" s="85">
        <f t="shared" si="39"/>
        <v>0</v>
      </c>
      <c r="H51" s="85">
        <f t="shared" si="39"/>
        <v>0</v>
      </c>
      <c r="I51" s="85">
        <f t="shared" si="39"/>
        <v>0</v>
      </c>
      <c r="J51" s="85">
        <f t="shared" si="39"/>
        <v>0</v>
      </c>
      <c r="K51" s="85">
        <f t="shared" si="39"/>
        <v>0</v>
      </c>
      <c r="L51" s="85">
        <f t="shared" si="39"/>
        <v>0</v>
      </c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  <c r="AU51" s="85"/>
      <c r="AV51" s="85"/>
      <c r="AW51" s="85"/>
      <c r="AX51" s="85"/>
      <c r="AY51" s="85"/>
      <c r="AZ51" s="85"/>
      <c r="BA51" s="85"/>
      <c r="BB51" s="85"/>
      <c r="BC51" s="85"/>
      <c r="BD51" s="85"/>
      <c r="BE51" s="85"/>
      <c r="BF51" s="85"/>
      <c r="BG51" s="85"/>
      <c r="BH51" s="85"/>
      <c r="BI51" s="85"/>
      <c r="BJ51" s="85"/>
      <c r="BK51" s="85"/>
      <c r="BL51" s="85"/>
      <c r="BM51" s="85"/>
      <c r="BN51" s="85"/>
      <c r="BO51" s="85"/>
      <c r="BP51" s="85"/>
      <c r="BQ51" s="44"/>
      <c r="BR51" s="44"/>
      <c r="BS51" s="44"/>
      <c r="BT51" s="44"/>
    </row>
    <row r="52" spans="1:72" x14ac:dyDescent="0.25">
      <c r="A52" s="112"/>
      <c r="B52" s="110" t="s">
        <v>66</v>
      </c>
      <c r="C52" s="111"/>
      <c r="D52" s="86">
        <f t="shared" ref="D52:E61" si="40">D42/D$41</f>
        <v>0.13809227787132397</v>
      </c>
      <c r="E52" s="86">
        <f t="shared" ref="E52:F52" si="41">E42/E$41</f>
        <v>8.5999052800058373E-2</v>
      </c>
      <c r="F52" s="86">
        <f t="shared" si="41"/>
        <v>7.4882097473515583E-2</v>
      </c>
      <c r="G52" s="86">
        <f t="shared" ref="G52:H52" si="42">G42/G$41</f>
        <v>7.2899603974890745E-2</v>
      </c>
      <c r="H52" s="86">
        <f t="shared" si="42"/>
        <v>7.2764299638537436E-2</v>
      </c>
      <c r="I52" s="86">
        <f t="shared" ref="I52:J52" si="43">I42/I$41</f>
        <v>7.2945698537940973E-2</v>
      </c>
      <c r="J52" s="86">
        <f t="shared" si="43"/>
        <v>7.3136492145050525E-2</v>
      </c>
      <c r="K52" s="86">
        <f t="shared" ref="K52:L52" si="44">K42/K$41</f>
        <v>7.3287344752361622E-2</v>
      </c>
      <c r="L52" s="86">
        <f t="shared" si="44"/>
        <v>7.3402494786991249E-2</v>
      </c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  <c r="BD52" s="86"/>
      <c r="BE52" s="86"/>
      <c r="BF52" s="86"/>
      <c r="BG52" s="86"/>
      <c r="BH52" s="86"/>
      <c r="BI52" s="86"/>
      <c r="BJ52" s="86"/>
      <c r="BK52" s="86"/>
      <c r="BL52" s="86"/>
      <c r="BM52" s="86"/>
      <c r="BN52" s="86"/>
      <c r="BO52" s="86"/>
      <c r="BP52" s="86"/>
      <c r="BQ52" s="44"/>
      <c r="BR52" s="44"/>
      <c r="BS52" s="44"/>
      <c r="BT52" s="44"/>
    </row>
    <row r="53" spans="1:72" x14ac:dyDescent="0.25">
      <c r="A53" s="112"/>
      <c r="B53" s="110" t="s">
        <v>67</v>
      </c>
      <c r="C53" s="111"/>
      <c r="D53" s="86">
        <f t="shared" si="40"/>
        <v>0.31445109057446063</v>
      </c>
      <c r="E53" s="86">
        <f t="shared" ref="E53:F53" si="45">E43/E$41</f>
        <v>0.28098064915935406</v>
      </c>
      <c r="F53" s="86">
        <f t="shared" si="45"/>
        <v>0.25496319957231228</v>
      </c>
      <c r="G53" s="86">
        <f t="shared" ref="G53:H53" si="46">G43/G$41</f>
        <v>0.23903500403759095</v>
      </c>
      <c r="H53" s="86">
        <f t="shared" si="46"/>
        <v>0.22938840005886055</v>
      </c>
      <c r="I53" s="86">
        <f t="shared" ref="I53:J53" si="47">I43/I$41</f>
        <v>0.22318209384228901</v>
      </c>
      <c r="J53" s="86">
        <f t="shared" si="47"/>
        <v>0.21892390935905393</v>
      </c>
      <c r="K53" s="86">
        <f t="shared" ref="K53:L53" si="48">K43/K$41</f>
        <v>0.21589423760165041</v>
      </c>
      <c r="L53" s="86">
        <f t="shared" si="48"/>
        <v>0.21371777066714226</v>
      </c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44"/>
      <c r="BR53" s="44"/>
      <c r="BS53" s="44"/>
      <c r="BT53" s="44"/>
    </row>
    <row r="54" spans="1:72" x14ac:dyDescent="0.25">
      <c r="A54" s="112"/>
      <c r="B54" s="110" t="s">
        <v>68</v>
      </c>
      <c r="C54" s="111"/>
      <c r="D54" s="86">
        <f t="shared" si="40"/>
        <v>0.51794214950366135</v>
      </c>
      <c r="E54" s="86">
        <f t="shared" ref="E54:F54" si="49">E44/E$41</f>
        <v>0.57673755207831623</v>
      </c>
      <c r="F54" s="86">
        <f t="shared" si="49"/>
        <v>0.58232039949268632</v>
      </c>
      <c r="G54" s="86">
        <f t="shared" ref="G54:H54" si="50">G44/G$41</f>
        <v>0.56554784410718617</v>
      </c>
      <c r="H54" s="86">
        <f t="shared" si="50"/>
        <v>0.54033092139529226</v>
      </c>
      <c r="I54" s="86">
        <f t="shared" ref="I54:J54" si="51">I44/I$41</f>
        <v>0.51407804709318339</v>
      </c>
      <c r="J54" s="86">
        <f t="shared" si="51"/>
        <v>0.49073431887027313</v>
      </c>
      <c r="K54" s="86">
        <f t="shared" ref="K54:L54" si="52">K44/K$41</f>
        <v>0.47186490608537796</v>
      </c>
      <c r="L54" s="86">
        <f t="shared" si="52"/>
        <v>0.45752370213538812</v>
      </c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  <c r="AT54" s="86"/>
      <c r="AU54" s="86"/>
      <c r="AV54" s="86"/>
      <c r="AW54" s="86"/>
      <c r="AX54" s="86"/>
      <c r="AY54" s="86"/>
      <c r="AZ54" s="86"/>
      <c r="BA54" s="86"/>
      <c r="BB54" s="86"/>
      <c r="BC54" s="86"/>
      <c r="BD54" s="86"/>
      <c r="BE54" s="86"/>
      <c r="BF54" s="86"/>
      <c r="BG54" s="86"/>
      <c r="BH54" s="86"/>
      <c r="BI54" s="86"/>
      <c r="BJ54" s="86"/>
      <c r="BK54" s="86"/>
      <c r="BL54" s="86"/>
      <c r="BM54" s="86"/>
      <c r="BN54" s="86"/>
      <c r="BO54" s="86"/>
      <c r="BP54" s="86"/>
      <c r="BQ54" s="44"/>
      <c r="BR54" s="44"/>
      <c r="BS54" s="44"/>
      <c r="BT54" s="44"/>
    </row>
    <row r="55" spans="1:72" x14ac:dyDescent="0.25">
      <c r="A55" s="112"/>
      <c r="B55" s="110" t="s">
        <v>69</v>
      </c>
      <c r="C55" s="111"/>
      <c r="D55" s="86">
        <f t="shared" si="40"/>
        <v>2.3542265267063493E-2</v>
      </c>
      <c r="E55" s="86">
        <f t="shared" ref="E55:F55" si="53">E45/E$41</f>
        <v>4.3216901051005209E-2</v>
      </c>
      <c r="F55" s="86">
        <f t="shared" si="53"/>
        <v>6.4742713347931871E-2</v>
      </c>
      <c r="G55" s="86">
        <f t="shared" ref="G55:H55" si="54">G45/G$41</f>
        <v>8.6316775129556975E-2</v>
      </c>
      <c r="H55" s="86">
        <f t="shared" si="54"/>
        <v>0.10557811828449948</v>
      </c>
      <c r="I55" s="86">
        <f t="shared" ref="I55:J55" si="55">I45/I$41</f>
        <v>0.12048619377493111</v>
      </c>
      <c r="J55" s="86">
        <f t="shared" si="55"/>
        <v>0.13006388090098475</v>
      </c>
      <c r="K55" s="86">
        <f t="shared" ref="K55:L55" si="56">K45/K$41</f>
        <v>0.13449120247985122</v>
      </c>
      <c r="L55" s="86">
        <f t="shared" si="56"/>
        <v>0.13470121222528375</v>
      </c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44"/>
      <c r="BR55" s="44"/>
      <c r="BS55" s="44"/>
      <c r="BT55" s="44"/>
    </row>
    <row r="56" spans="1:72" x14ac:dyDescent="0.25">
      <c r="A56" s="112"/>
      <c r="B56" s="110" t="s">
        <v>70</v>
      </c>
      <c r="C56" s="111"/>
      <c r="D56" s="86">
        <f t="shared" si="40"/>
        <v>5.9722167834906246E-3</v>
      </c>
      <c r="E56" s="86">
        <f t="shared" ref="E56:F56" si="57">E46/E$41</f>
        <v>1.3065844911268174E-2</v>
      </c>
      <c r="F56" s="86">
        <f t="shared" si="57"/>
        <v>2.3090774972563458E-2</v>
      </c>
      <c r="G56" s="86">
        <f t="shared" ref="G56:H56" si="58">G46/G$41</f>
        <v>3.6200066395299012E-2</v>
      </c>
      <c r="H56" s="86">
        <f t="shared" si="58"/>
        <v>5.1936200546728602E-2</v>
      </c>
      <c r="I56" s="86">
        <f t="shared" ref="I56:J56" si="59">I46/I$41</f>
        <v>6.9304399647950155E-2</v>
      </c>
      <c r="J56" s="86">
        <f t="shared" si="59"/>
        <v>8.7136690131165956E-2</v>
      </c>
      <c r="K56" s="86">
        <f t="shared" ref="K56:L56" si="60">K46/K$41</f>
        <v>0.10445710068571316</v>
      </c>
      <c r="L56" s="86">
        <f t="shared" si="60"/>
        <v>0.12064974310234711</v>
      </c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44"/>
      <c r="BR56" s="44"/>
      <c r="BS56" s="44"/>
      <c r="BT56" s="44"/>
    </row>
    <row r="57" spans="1:72" x14ac:dyDescent="0.25">
      <c r="A57" s="112"/>
      <c r="B57" s="110" t="s">
        <v>71</v>
      </c>
      <c r="C57" s="111"/>
      <c r="D57" s="86">
        <f t="shared" si="40"/>
        <v>0</v>
      </c>
      <c r="E57" s="86">
        <f t="shared" ref="E57:F57" si="61">E47/E$41</f>
        <v>0</v>
      </c>
      <c r="F57" s="86">
        <f t="shared" si="61"/>
        <v>0</v>
      </c>
      <c r="G57" s="86">
        <f t="shared" ref="G57:H57" si="62">G47/G$41</f>
        <v>0</v>
      </c>
      <c r="H57" s="86">
        <f t="shared" si="62"/>
        <v>0</v>
      </c>
      <c r="I57" s="86">
        <f t="shared" ref="I57:J57" si="63">I47/I$41</f>
        <v>0</v>
      </c>
      <c r="J57" s="86">
        <f t="shared" si="63"/>
        <v>0</v>
      </c>
      <c r="K57" s="86">
        <f t="shared" ref="K57:L57" si="64">K47/K$41</f>
        <v>0</v>
      </c>
      <c r="L57" s="86">
        <f t="shared" si="64"/>
        <v>0</v>
      </c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44"/>
      <c r="BR57" s="44"/>
      <c r="BS57" s="44"/>
      <c r="BT57" s="44"/>
    </row>
    <row r="58" spans="1:72" x14ac:dyDescent="0.25">
      <c r="A58" s="112"/>
      <c r="B58" s="110" t="s">
        <v>72</v>
      </c>
      <c r="C58" s="111"/>
      <c r="D58" s="86">
        <f t="shared" si="40"/>
        <v>0</v>
      </c>
      <c r="E58" s="86">
        <f t="shared" ref="E58:F58" si="65">E48/E$41</f>
        <v>0</v>
      </c>
      <c r="F58" s="86">
        <f t="shared" si="65"/>
        <v>0</v>
      </c>
      <c r="G58" s="86">
        <f t="shared" ref="G58:H58" si="66">G48/G$41</f>
        <v>0</v>
      </c>
      <c r="H58" s="86">
        <f t="shared" si="66"/>
        <v>0</v>
      </c>
      <c r="I58" s="86">
        <f t="shared" ref="I58:J58" si="67">I48/I$41</f>
        <v>0</v>
      </c>
      <c r="J58" s="86">
        <f t="shared" si="67"/>
        <v>0</v>
      </c>
      <c r="K58" s="86">
        <f t="shared" ref="K58:L58" si="68">K48/K$41</f>
        <v>0</v>
      </c>
      <c r="L58" s="86">
        <f t="shared" si="68"/>
        <v>0</v>
      </c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44"/>
      <c r="BR58" s="44"/>
      <c r="BS58" s="44"/>
      <c r="BT58" s="44"/>
    </row>
    <row r="59" spans="1:72" x14ac:dyDescent="0.25">
      <c r="A59" s="112"/>
      <c r="B59" s="110" t="s">
        <v>74</v>
      </c>
      <c r="C59" s="111"/>
      <c r="D59" s="86">
        <f t="shared" si="40"/>
        <v>0</v>
      </c>
      <c r="E59" s="86">
        <f t="shared" ref="E59:F59" si="69">E49/E$41</f>
        <v>0</v>
      </c>
      <c r="F59" s="86">
        <f t="shared" si="69"/>
        <v>0</v>
      </c>
      <c r="G59" s="86">
        <f t="shared" ref="G59:H59" si="70">G49/G$41</f>
        <v>0</v>
      </c>
      <c r="H59" s="86">
        <f t="shared" si="70"/>
        <v>0</v>
      </c>
      <c r="I59" s="86">
        <f t="shared" ref="I59:J59" si="71">I49/I$41</f>
        <v>0</v>
      </c>
      <c r="J59" s="86">
        <f t="shared" si="71"/>
        <v>0</v>
      </c>
      <c r="K59" s="86">
        <f t="shared" ref="K59:L59" si="72">K49/K$41</f>
        <v>0</v>
      </c>
      <c r="L59" s="86">
        <f t="shared" si="72"/>
        <v>0</v>
      </c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44"/>
      <c r="BR59" s="44"/>
      <c r="BS59" s="44"/>
      <c r="BT59" s="44"/>
    </row>
    <row r="60" spans="1:72" x14ac:dyDescent="0.25">
      <c r="A60" s="112"/>
      <c r="B60" s="110" t="s">
        <v>73</v>
      </c>
      <c r="C60" s="111"/>
      <c r="D60" s="86">
        <f t="shared" si="40"/>
        <v>0</v>
      </c>
      <c r="E60" s="86">
        <f t="shared" ref="E60:F60" si="73">E50/E$41</f>
        <v>0</v>
      </c>
      <c r="F60" s="86">
        <f t="shared" si="73"/>
        <v>0</v>
      </c>
      <c r="G60" s="86">
        <f t="shared" ref="G60:H60" si="74">G50/G$41</f>
        <v>0</v>
      </c>
      <c r="H60" s="86">
        <f t="shared" si="74"/>
        <v>0</v>
      </c>
      <c r="I60" s="86">
        <f t="shared" ref="I60:J60" si="75">I50/I$41</f>
        <v>0</v>
      </c>
      <c r="J60" s="86">
        <f t="shared" si="75"/>
        <v>0</v>
      </c>
      <c r="K60" s="86">
        <f t="shared" ref="K60:L60" si="76">K50/K$41</f>
        <v>0</v>
      </c>
      <c r="L60" s="86">
        <f t="shared" si="76"/>
        <v>0</v>
      </c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  <c r="AU60" s="86"/>
      <c r="AV60" s="86"/>
      <c r="AW60" s="86"/>
      <c r="AX60" s="86"/>
      <c r="AY60" s="86"/>
      <c r="AZ60" s="86"/>
      <c r="BA60" s="86"/>
      <c r="BB60" s="86"/>
      <c r="BC60" s="86"/>
      <c r="BD60" s="86"/>
      <c r="BE60" s="86"/>
      <c r="BF60" s="86"/>
      <c r="BG60" s="86"/>
      <c r="BH60" s="86"/>
      <c r="BI60" s="86"/>
      <c r="BJ60" s="86"/>
      <c r="BK60" s="86"/>
      <c r="BL60" s="86"/>
      <c r="BM60" s="86"/>
      <c r="BN60" s="86"/>
      <c r="BO60" s="86"/>
      <c r="BP60" s="86"/>
      <c r="BQ60" s="44"/>
      <c r="BR60" s="44"/>
      <c r="BS60" s="44"/>
      <c r="BT60" s="44"/>
    </row>
    <row r="61" spans="1:72" x14ac:dyDescent="0.25">
      <c r="A61" s="112"/>
      <c r="B61" s="110" t="s">
        <v>75</v>
      </c>
      <c r="C61" s="111"/>
      <c r="D61" s="86">
        <f t="shared" si="40"/>
        <v>0</v>
      </c>
      <c r="E61" s="86">
        <f t="shared" ref="E61:F61" si="77">E51/E$41</f>
        <v>0</v>
      </c>
      <c r="F61" s="86">
        <f t="shared" si="77"/>
        <v>0</v>
      </c>
      <c r="G61" s="86">
        <f t="shared" ref="G61:H61" si="78">G51/G$41</f>
        <v>0</v>
      </c>
      <c r="H61" s="86">
        <f t="shared" si="78"/>
        <v>0</v>
      </c>
      <c r="I61" s="86">
        <f t="shared" ref="I61:J61" si="79">I51/I$41</f>
        <v>0</v>
      </c>
      <c r="J61" s="86">
        <f t="shared" si="79"/>
        <v>0</v>
      </c>
      <c r="K61" s="86">
        <f t="shared" ref="K61:L61" si="80">K51/K$41</f>
        <v>0</v>
      </c>
      <c r="L61" s="86">
        <f t="shared" si="80"/>
        <v>0</v>
      </c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  <c r="AU61" s="86"/>
      <c r="AV61" s="86"/>
      <c r="AW61" s="86"/>
      <c r="AX61" s="86"/>
      <c r="AY61" s="86"/>
      <c r="AZ61" s="86"/>
      <c r="BA61" s="86"/>
      <c r="BB61" s="86"/>
      <c r="BC61" s="86"/>
      <c r="BD61" s="86"/>
      <c r="BE61" s="86"/>
      <c r="BF61" s="86"/>
      <c r="BG61" s="86"/>
      <c r="BH61" s="86"/>
      <c r="BI61" s="86"/>
      <c r="BJ61" s="86"/>
      <c r="BK61" s="86"/>
      <c r="BL61" s="86"/>
      <c r="BM61" s="86"/>
      <c r="BN61" s="86"/>
      <c r="BO61" s="86"/>
      <c r="BP61" s="86"/>
      <c r="BQ61" s="44"/>
      <c r="BR61" s="44"/>
      <c r="BS61" s="44"/>
      <c r="BT61" s="44"/>
    </row>
    <row r="62" spans="1:72" x14ac:dyDescent="0.25">
      <c r="A62" s="107"/>
      <c r="B62" s="104" t="s">
        <v>106</v>
      </c>
      <c r="C62" s="91">
        <f>J4*V20</f>
        <v>21013.54865551526</v>
      </c>
      <c r="D62" s="88">
        <v>21041.511790453293</v>
      </c>
      <c r="E62" s="88">
        <v>20682.749250768644</v>
      </c>
      <c r="F62" s="88">
        <v>20198.972602065835</v>
      </c>
      <c r="G62" s="88">
        <v>19722.546247775568</v>
      </c>
      <c r="H62" s="88">
        <v>19309.604279909243</v>
      </c>
      <c r="I62" s="88">
        <v>18977.547617304139</v>
      </c>
      <c r="J62" s="88">
        <v>18721.575968863708</v>
      </c>
      <c r="K62" s="88">
        <v>18527.376276052189</v>
      </c>
      <c r="L62" s="88">
        <v>18379.496207639237</v>
      </c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88"/>
      <c r="AL62" s="88"/>
      <c r="AM62" s="88"/>
      <c r="AN62" s="88"/>
      <c r="AO62" s="88"/>
      <c r="AP62" s="88"/>
      <c r="AQ62" s="88"/>
      <c r="AR62" s="88"/>
      <c r="AS62" s="88"/>
      <c r="AT62" s="88"/>
      <c r="AU62" s="88"/>
      <c r="AV62" s="88"/>
      <c r="AW62" s="88"/>
      <c r="AX62" s="88"/>
      <c r="AY62" s="88"/>
      <c r="AZ62" s="88"/>
      <c r="BA62" s="88"/>
      <c r="BB62" s="88"/>
      <c r="BC62" s="88"/>
      <c r="BD62" s="88"/>
      <c r="BE62" s="88"/>
      <c r="BF62" s="88"/>
      <c r="BG62" s="88"/>
      <c r="BH62" s="88"/>
      <c r="BI62" s="88"/>
      <c r="BJ62" s="88"/>
      <c r="BK62" s="88"/>
      <c r="BL62" s="88"/>
      <c r="BM62" s="88"/>
      <c r="BN62" s="88"/>
      <c r="BO62" s="88"/>
      <c r="BP62" s="88"/>
      <c r="BQ62" s="44"/>
      <c r="BR62" s="44"/>
      <c r="BS62" s="44"/>
      <c r="BT62" s="44"/>
    </row>
    <row r="63" spans="1:72" x14ac:dyDescent="0.25">
      <c r="A63" s="101"/>
      <c r="B63" s="102" t="s">
        <v>107</v>
      </c>
      <c r="C63" s="92">
        <f>J$4*V10</f>
        <v>2901.8087999999993</v>
      </c>
      <c r="D63" s="89">
        <f t="shared" ref="D63:E63" si="81">D$62*D73</f>
        <v>1002.8709974928545</v>
      </c>
      <c r="E63" s="89">
        <f t="shared" ref="E63:F63" si="82">E$62*E73</f>
        <v>569.93919934910014</v>
      </c>
      <c r="F63" s="89">
        <f t="shared" si="82"/>
        <v>462.96915578095388</v>
      </c>
      <c r="G63" s="89">
        <f t="shared" ref="G63:H63" si="83">G$62*G73</f>
        <v>423.47408930245189</v>
      </c>
      <c r="H63" s="89">
        <f t="shared" si="83"/>
        <v>399.7384131000797</v>
      </c>
      <c r="I63" s="89">
        <f t="shared" ref="I63:J63" si="84">I$62*I73</f>
        <v>382.09159841605253</v>
      </c>
      <c r="J63" s="89">
        <f t="shared" si="84"/>
        <v>368.53092600549337</v>
      </c>
      <c r="K63" s="89">
        <f t="shared" ref="K63:L63" si="85">K$62*K73</f>
        <v>358.21510672635975</v>
      </c>
      <c r="L63" s="89">
        <f t="shared" si="85"/>
        <v>350.44332040514598</v>
      </c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L63" s="89"/>
      <c r="BM63" s="89"/>
      <c r="BN63" s="89"/>
      <c r="BO63" s="89"/>
      <c r="BP63" s="89"/>
      <c r="BQ63" s="44"/>
      <c r="BR63" s="44"/>
      <c r="BS63" s="44"/>
      <c r="BT63" s="44"/>
    </row>
    <row r="64" spans="1:72" x14ac:dyDescent="0.25">
      <c r="A64" s="101"/>
      <c r="B64" s="102" t="s">
        <v>108</v>
      </c>
      <c r="C64" s="92">
        <f t="shared" ref="C64:C72" si="86">J$4*V11</f>
        <v>6607.7332915662637</v>
      </c>
      <c r="D64" s="89">
        <f t="shared" ref="D64:E72" si="87">D$62*D74</f>
        <v>5393.9579006887261</v>
      </c>
      <c r="E64" s="89">
        <f t="shared" ref="E64:F64" si="88">E$62*E74</f>
        <v>4352.1522373908738</v>
      </c>
      <c r="F64" s="89">
        <f t="shared" si="88"/>
        <v>3660.4209640699069</v>
      </c>
      <c r="G64" s="89">
        <f t="shared" ref="G64:H64" si="89">G$62*G74</f>
        <v>3206.9022633382574</v>
      </c>
      <c r="H64" s="89">
        <f t="shared" si="89"/>
        <v>2896.2303510283514</v>
      </c>
      <c r="I64" s="89">
        <f t="shared" ref="I64:J64" si="90">I$62*I74</f>
        <v>2675.372097630348</v>
      </c>
      <c r="J64" s="89">
        <f t="shared" si="90"/>
        <v>2515.6981853270577</v>
      </c>
      <c r="K64" s="89">
        <f t="shared" ref="K64:L64" si="91">K$62*K74</f>
        <v>2399.7441309606265</v>
      </c>
      <c r="L64" s="89">
        <f t="shared" si="91"/>
        <v>2315.349912594088</v>
      </c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L64" s="89"/>
      <c r="BM64" s="89"/>
      <c r="BN64" s="89"/>
      <c r="BO64" s="89"/>
      <c r="BP64" s="89"/>
      <c r="BQ64" s="44"/>
      <c r="BR64" s="44"/>
      <c r="BS64" s="44"/>
      <c r="BT64" s="44"/>
    </row>
    <row r="65" spans="1:72" x14ac:dyDescent="0.25">
      <c r="A65" s="101"/>
      <c r="B65" s="102" t="s">
        <v>109</v>
      </c>
      <c r="C65" s="92">
        <f t="shared" si="86"/>
        <v>10883.802559337346</v>
      </c>
      <c r="D65" s="89">
        <f t="shared" si="87"/>
        <v>13045.894300301487</v>
      </c>
      <c r="E65" s="89">
        <f t="shared" ref="E65:F65" si="92">E$62*E75</f>
        <v>13040.903157457842</v>
      </c>
      <c r="F65" s="89">
        <f t="shared" si="92"/>
        <v>12160.673750084474</v>
      </c>
      <c r="G65" s="89">
        <f t="shared" ref="G65:H65" si="93">G$62*G75</f>
        <v>11003.398378865699</v>
      </c>
      <c r="H65" s="89">
        <f t="shared" si="93"/>
        <v>9866.8068831092314</v>
      </c>
      <c r="I65" s="89">
        <f t="shared" ref="I65:J65" si="94">I$62*I75</f>
        <v>8891.6125531605867</v>
      </c>
      <c r="J65" s="89">
        <f t="shared" si="94"/>
        <v>8120.534865771263</v>
      </c>
      <c r="K65" s="89">
        <f t="shared" ref="K65:L65" si="95">K$62*K75</f>
        <v>7541.1161550034985</v>
      </c>
      <c r="L65" s="89">
        <f t="shared" si="95"/>
        <v>7118.0137955967539</v>
      </c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L65" s="89"/>
      <c r="BM65" s="89"/>
      <c r="BN65" s="89"/>
      <c r="BO65" s="89"/>
      <c r="BP65" s="89"/>
      <c r="BQ65" s="44"/>
      <c r="BR65" s="44"/>
      <c r="BS65" s="44"/>
      <c r="BT65" s="44"/>
    </row>
    <row r="66" spans="1:72" x14ac:dyDescent="0.25">
      <c r="A66" s="101"/>
      <c r="B66" s="102" t="s">
        <v>110</v>
      </c>
      <c r="C66" s="92">
        <f t="shared" si="86"/>
        <v>494.70653665048542</v>
      </c>
      <c r="D66" s="89">
        <f t="shared" si="87"/>
        <v>1214.0165205763553</v>
      </c>
      <c r="E66" s="89">
        <f t="shared" ref="E66:F66" si="96">E$62*E76</f>
        <v>1977.0585000768876</v>
      </c>
      <c r="F66" s="89">
        <f t="shared" si="96"/>
        <v>2715.5921341731923</v>
      </c>
      <c r="G66" s="89">
        <f t="shared" ref="G66:H66" si="97">G$62*G76</f>
        <v>3352.6189071177528</v>
      </c>
      <c r="H66" s="89">
        <f t="shared" si="97"/>
        <v>3827.7462930356619</v>
      </c>
      <c r="I66" s="89">
        <f t="shared" ref="I66:J66" si="98">I$62*I76</f>
        <v>4117.8123972810436</v>
      </c>
      <c r="J66" s="89">
        <f t="shared" si="98"/>
        <v>4235.964560168909</v>
      </c>
      <c r="K66" s="89">
        <f t="shared" ref="K66:L66" si="99">K$62*K76</f>
        <v>4216.9894029146126</v>
      </c>
      <c r="L66" s="89">
        <f t="shared" si="99"/>
        <v>4101.581628772632</v>
      </c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L66" s="89"/>
      <c r="BM66" s="89"/>
      <c r="BN66" s="89"/>
      <c r="BO66" s="89"/>
      <c r="BP66" s="89"/>
      <c r="BQ66" s="44"/>
      <c r="BR66" s="44"/>
      <c r="BS66" s="44"/>
      <c r="BT66" s="44"/>
    </row>
    <row r="67" spans="1:72" x14ac:dyDescent="0.25">
      <c r="A67" s="101"/>
      <c r="B67" s="102" t="s">
        <v>111</v>
      </c>
      <c r="C67" s="92">
        <f t="shared" si="86"/>
        <v>125.49746796116507</v>
      </c>
      <c r="D67" s="89">
        <f t="shared" si="87"/>
        <v>384.77207139393994</v>
      </c>
      <c r="E67" s="89">
        <f t="shared" ref="E67:F67" si="100">E$62*E77</f>
        <v>742.66667443652079</v>
      </c>
      <c r="F67" s="89">
        <f t="shared" si="100"/>
        <v>1199.2913921777354</v>
      </c>
      <c r="G67" s="89">
        <f t="shared" ref="G67:H67" si="101">G$62*G77</f>
        <v>1736.0800783146967</v>
      </c>
      <c r="H67" s="89">
        <f t="shared" si="101"/>
        <v>2318.9582226129914</v>
      </c>
      <c r="I67" s="89">
        <f t="shared" ref="I67:J67" si="102">I$62*I77</f>
        <v>2910.4966992887553</v>
      </c>
      <c r="J67" s="89">
        <f t="shared" si="102"/>
        <v>3480.669268680886</v>
      </c>
      <c r="K67" s="89">
        <f t="shared" ref="K67:L67" si="103">K$62*K77</f>
        <v>4011.1387952846562</v>
      </c>
      <c r="L67" s="89">
        <f t="shared" si="103"/>
        <v>4493.9526610670682</v>
      </c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L67" s="89"/>
      <c r="BM67" s="89"/>
      <c r="BN67" s="89"/>
      <c r="BO67" s="89"/>
      <c r="BP67" s="89"/>
      <c r="BQ67" s="44"/>
      <c r="BR67" s="44"/>
      <c r="BS67" s="44"/>
      <c r="BT67" s="44"/>
    </row>
    <row r="68" spans="1:72" x14ac:dyDescent="0.25">
      <c r="A68" s="101"/>
      <c r="B68" s="102" t="s">
        <v>140</v>
      </c>
      <c r="C68" s="92">
        <f t="shared" si="86"/>
        <v>0</v>
      </c>
      <c r="D68" s="89">
        <f t="shared" si="87"/>
        <v>0</v>
      </c>
      <c r="E68" s="89">
        <f t="shared" ref="E68:F68" si="104">E$62*E78</f>
        <v>0</v>
      </c>
      <c r="F68" s="89">
        <f t="shared" si="104"/>
        <v>0</v>
      </c>
      <c r="G68" s="89">
        <f t="shared" ref="G68:H68" si="105">G$62*G78</f>
        <v>0</v>
      </c>
      <c r="H68" s="89">
        <f t="shared" si="105"/>
        <v>0</v>
      </c>
      <c r="I68" s="89">
        <f t="shared" ref="I68:J68" si="106">I$62*I78</f>
        <v>0</v>
      </c>
      <c r="J68" s="89">
        <f t="shared" si="106"/>
        <v>0</v>
      </c>
      <c r="K68" s="89">
        <f t="shared" ref="K68:L68" si="107">K$62*K78</f>
        <v>0</v>
      </c>
      <c r="L68" s="89">
        <f t="shared" si="107"/>
        <v>0</v>
      </c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L68" s="89"/>
      <c r="BM68" s="89"/>
      <c r="BN68" s="89"/>
      <c r="BO68" s="89"/>
      <c r="BP68" s="89"/>
      <c r="BQ68" s="44"/>
      <c r="BR68" s="44"/>
      <c r="BS68" s="44"/>
      <c r="BT68" s="44"/>
    </row>
    <row r="69" spans="1:72" x14ac:dyDescent="0.25">
      <c r="A69" s="101"/>
      <c r="B69" s="102" t="s">
        <v>141</v>
      </c>
      <c r="C69" s="92">
        <f t="shared" si="86"/>
        <v>0</v>
      </c>
      <c r="D69" s="89">
        <f t="shared" si="87"/>
        <v>0</v>
      </c>
      <c r="E69" s="89">
        <f t="shared" ref="E69:F69" si="108">E$62*E79</f>
        <v>0</v>
      </c>
      <c r="F69" s="89">
        <f t="shared" si="108"/>
        <v>0</v>
      </c>
      <c r="G69" s="89">
        <f t="shared" ref="G69:H69" si="109">G$62*G79</f>
        <v>0</v>
      </c>
      <c r="H69" s="89">
        <f t="shared" si="109"/>
        <v>0</v>
      </c>
      <c r="I69" s="89">
        <f t="shared" ref="I69:J69" si="110">I$62*I79</f>
        <v>0</v>
      </c>
      <c r="J69" s="89">
        <f t="shared" si="110"/>
        <v>0</v>
      </c>
      <c r="K69" s="89">
        <f t="shared" ref="K69:L69" si="111">K$62*K79</f>
        <v>0</v>
      </c>
      <c r="L69" s="89">
        <f t="shared" si="111"/>
        <v>0</v>
      </c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L69" s="89"/>
      <c r="BM69" s="89"/>
      <c r="BN69" s="89"/>
      <c r="BO69" s="89"/>
      <c r="BP69" s="89"/>
      <c r="BQ69" s="44"/>
      <c r="BR69" s="44"/>
      <c r="BS69" s="44"/>
      <c r="BT69" s="44"/>
    </row>
    <row r="70" spans="1:72" x14ac:dyDescent="0.25">
      <c r="A70" s="101"/>
      <c r="B70" s="102" t="s">
        <v>142</v>
      </c>
      <c r="C70" s="92">
        <f t="shared" si="86"/>
        <v>0</v>
      </c>
      <c r="D70" s="89">
        <f t="shared" si="87"/>
        <v>0</v>
      </c>
      <c r="E70" s="89">
        <f t="shared" ref="E70:F70" si="112">E$62*E80</f>
        <v>0</v>
      </c>
      <c r="F70" s="89">
        <f t="shared" si="112"/>
        <v>0</v>
      </c>
      <c r="G70" s="89">
        <f t="shared" ref="G70:H70" si="113">G$62*G80</f>
        <v>0</v>
      </c>
      <c r="H70" s="89">
        <f t="shared" si="113"/>
        <v>0</v>
      </c>
      <c r="I70" s="89">
        <f t="shared" ref="I70:J70" si="114">I$62*I80</f>
        <v>0</v>
      </c>
      <c r="J70" s="89">
        <f t="shared" si="114"/>
        <v>0</v>
      </c>
      <c r="K70" s="89">
        <f t="shared" ref="K70:L70" si="115">K$62*K80</f>
        <v>0</v>
      </c>
      <c r="L70" s="89">
        <f t="shared" si="115"/>
        <v>0</v>
      </c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L70" s="89"/>
      <c r="BM70" s="89"/>
      <c r="BN70" s="89"/>
      <c r="BO70" s="89"/>
      <c r="BP70" s="89"/>
      <c r="BQ70" s="44"/>
      <c r="BR70" s="44"/>
      <c r="BS70" s="44"/>
      <c r="BT70" s="44"/>
    </row>
    <row r="71" spans="1:72" x14ac:dyDescent="0.25">
      <c r="A71" s="101"/>
      <c r="B71" s="102" t="s">
        <v>143</v>
      </c>
      <c r="C71" s="92">
        <f t="shared" si="86"/>
        <v>0</v>
      </c>
      <c r="D71" s="89">
        <f t="shared" si="87"/>
        <v>0</v>
      </c>
      <c r="E71" s="89">
        <f t="shared" ref="E71:F71" si="116">E$62*E81</f>
        <v>0</v>
      </c>
      <c r="F71" s="89">
        <f t="shared" si="116"/>
        <v>0</v>
      </c>
      <c r="G71" s="89">
        <f t="shared" ref="G71:H71" si="117">G$62*G81</f>
        <v>0</v>
      </c>
      <c r="H71" s="89">
        <f t="shared" si="117"/>
        <v>0</v>
      </c>
      <c r="I71" s="89">
        <f t="shared" ref="I71:J71" si="118">I$62*I81</f>
        <v>0</v>
      </c>
      <c r="J71" s="89">
        <f t="shared" si="118"/>
        <v>0</v>
      </c>
      <c r="K71" s="89">
        <f t="shared" ref="K71:L71" si="119">K$62*K81</f>
        <v>0</v>
      </c>
      <c r="L71" s="89">
        <f t="shared" si="119"/>
        <v>0</v>
      </c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L71" s="89"/>
      <c r="BM71" s="89"/>
      <c r="BN71" s="89"/>
      <c r="BO71" s="89"/>
      <c r="BP71" s="89"/>
      <c r="BQ71" s="44"/>
      <c r="BR71" s="44"/>
      <c r="BS71" s="44"/>
      <c r="BT71" s="44"/>
    </row>
    <row r="72" spans="1:72" x14ac:dyDescent="0.25">
      <c r="A72" s="101"/>
      <c r="B72" s="102" t="s">
        <v>144</v>
      </c>
      <c r="C72" s="92">
        <f t="shared" si="86"/>
        <v>0</v>
      </c>
      <c r="D72" s="89">
        <f t="shared" si="87"/>
        <v>0</v>
      </c>
      <c r="E72" s="89">
        <f t="shared" ref="E72:F72" si="120">E$62*E82</f>
        <v>0</v>
      </c>
      <c r="F72" s="89">
        <f t="shared" si="120"/>
        <v>0</v>
      </c>
      <c r="G72" s="89">
        <f t="shared" ref="G72:H72" si="121">G$62*G82</f>
        <v>0</v>
      </c>
      <c r="H72" s="89">
        <f t="shared" si="121"/>
        <v>0</v>
      </c>
      <c r="I72" s="89">
        <f t="shared" ref="I72:J72" si="122">I$62*I82</f>
        <v>0</v>
      </c>
      <c r="J72" s="89">
        <f t="shared" si="122"/>
        <v>0</v>
      </c>
      <c r="K72" s="89">
        <f t="shared" ref="K72:L72" si="123">K$62*K82</f>
        <v>0</v>
      </c>
      <c r="L72" s="89">
        <f t="shared" si="123"/>
        <v>0</v>
      </c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L72" s="89"/>
      <c r="BM72" s="89"/>
      <c r="BN72" s="89"/>
      <c r="BO72" s="89"/>
      <c r="BP72" s="89"/>
      <c r="BQ72" s="44"/>
      <c r="BR72" s="44"/>
      <c r="BS72" s="44"/>
      <c r="BT72" s="44"/>
    </row>
    <row r="73" spans="1:72" x14ac:dyDescent="0.25">
      <c r="A73" s="166" t="s">
        <v>194</v>
      </c>
      <c r="B73" s="102" t="s">
        <v>56</v>
      </c>
      <c r="C73" s="92"/>
      <c r="D73" s="86">
        <f t="shared" ref="D73:L73" si="124">C140</f>
        <v>4.7661546731060711E-2</v>
      </c>
      <c r="E73" s="86">
        <f t="shared" si="124"/>
        <v>2.7556259201272248E-2</v>
      </c>
      <c r="F73" s="86">
        <f t="shared" si="124"/>
        <v>2.2920430900213413E-2</v>
      </c>
      <c r="G73" s="86">
        <f t="shared" si="124"/>
        <v>2.1471572888323888E-2</v>
      </c>
      <c r="H73" s="86">
        <f t="shared" si="124"/>
        <v>2.0701533149283084E-2</v>
      </c>
      <c r="I73" s="86">
        <f t="shared" si="124"/>
        <v>2.0133876416553061E-2</v>
      </c>
      <c r="J73" s="86">
        <f t="shared" si="124"/>
        <v>1.9684823896150932E-2</v>
      </c>
      <c r="K73" s="86">
        <f t="shared" si="124"/>
        <v>1.9334367769567866E-2</v>
      </c>
      <c r="L73" s="86">
        <f t="shared" si="124"/>
        <v>1.9067079774443874E-2</v>
      </c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AZ73" s="86"/>
      <c r="BA73" s="86"/>
      <c r="BB73" s="86"/>
      <c r="BC73" s="86"/>
      <c r="BD73" s="86"/>
      <c r="BE73" s="86"/>
      <c r="BF73" s="86"/>
      <c r="BG73" s="86"/>
      <c r="BH73" s="86"/>
      <c r="BI73" s="86"/>
      <c r="BJ73" s="86"/>
      <c r="BK73" s="86"/>
      <c r="BL73" s="86"/>
      <c r="BM73" s="86"/>
      <c r="BN73" s="86"/>
      <c r="BO73" s="86"/>
      <c r="BP73" s="86"/>
      <c r="BQ73" s="44"/>
      <c r="BR73" s="44"/>
      <c r="BS73" s="44"/>
      <c r="BT73" s="44"/>
    </row>
    <row r="74" spans="1:72" x14ac:dyDescent="0.25">
      <c r="A74" s="166"/>
      <c r="B74" s="102" t="s">
        <v>57</v>
      </c>
      <c r="C74" s="92"/>
      <c r="D74" s="86">
        <f t="shared" ref="D74:L82" si="125">C141</f>
        <v>0.25634840093267486</v>
      </c>
      <c r="E74" s="86">
        <f t="shared" si="125"/>
        <v>0.21042426152457139</v>
      </c>
      <c r="F74" s="86">
        <f t="shared" si="125"/>
        <v>0.18121817560639397</v>
      </c>
      <c r="G74" s="86">
        <f t="shared" si="125"/>
        <v>0.16260082359801548</v>
      </c>
      <c r="H74" s="86">
        <f t="shared" si="125"/>
        <v>0.14998910951488251</v>
      </c>
      <c r="I74" s="86">
        <f t="shared" si="125"/>
        <v>0.1409756493083904</v>
      </c>
      <c r="J74" s="86">
        <f t="shared" si="125"/>
        <v>0.13437427434052424</v>
      </c>
      <c r="K74" s="86">
        <f t="shared" si="125"/>
        <v>0.12952422918416398</v>
      </c>
      <c r="L74" s="86">
        <f t="shared" si="125"/>
        <v>0.12597461249409753</v>
      </c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AZ74" s="86"/>
      <c r="BA74" s="86"/>
      <c r="BB74" s="86"/>
      <c r="BC74" s="86"/>
      <c r="BD74" s="86"/>
      <c r="BE74" s="86"/>
      <c r="BF74" s="86"/>
      <c r="BG74" s="86"/>
      <c r="BH74" s="86"/>
      <c r="BI74" s="86"/>
      <c r="BJ74" s="86"/>
      <c r="BK74" s="86"/>
      <c r="BL74" s="86"/>
      <c r="BM74" s="86"/>
      <c r="BN74" s="86"/>
      <c r="BO74" s="86"/>
      <c r="BP74" s="86"/>
      <c r="BQ74" s="44"/>
      <c r="BR74" s="44"/>
      <c r="BS74" s="44"/>
      <c r="BT74" s="44"/>
    </row>
    <row r="75" spans="1:72" x14ac:dyDescent="0.25">
      <c r="A75" s="166"/>
      <c r="B75" s="102" t="s">
        <v>58</v>
      </c>
      <c r="C75" s="92"/>
      <c r="D75" s="86">
        <f t="shared" si="125"/>
        <v>0.6200074609762839</v>
      </c>
      <c r="E75" s="86">
        <f t="shared" si="125"/>
        <v>0.6305207784198803</v>
      </c>
      <c r="F75" s="86">
        <f t="shared" si="125"/>
        <v>0.60204417272395083</v>
      </c>
      <c r="G75" s="86">
        <f t="shared" si="125"/>
        <v>0.55790962488460283</v>
      </c>
      <c r="H75" s="86">
        <f t="shared" si="125"/>
        <v>0.51097923810770118</v>
      </c>
      <c r="I75" s="86">
        <f t="shared" si="125"/>
        <v>0.4685332758724326</v>
      </c>
      <c r="J75" s="86">
        <f t="shared" si="125"/>
        <v>0.43375273958115035</v>
      </c>
      <c r="K75" s="86">
        <f t="shared" si="125"/>
        <v>0.40702558433764147</v>
      </c>
      <c r="L75" s="86">
        <f t="shared" si="125"/>
        <v>0.38728013625521623</v>
      </c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AZ75" s="86"/>
      <c r="BA75" s="86"/>
      <c r="BB75" s="86"/>
      <c r="BC75" s="86"/>
      <c r="BD75" s="86"/>
      <c r="BE75" s="86"/>
      <c r="BF75" s="86"/>
      <c r="BG75" s="86"/>
      <c r="BH75" s="86"/>
      <c r="BI75" s="86"/>
      <c r="BJ75" s="86"/>
      <c r="BK75" s="86"/>
      <c r="BL75" s="86"/>
      <c r="BM75" s="86"/>
      <c r="BN75" s="86"/>
      <c r="BO75" s="86"/>
      <c r="BP75" s="86"/>
      <c r="BQ75" s="44"/>
      <c r="BR75" s="44"/>
      <c r="BS75" s="44"/>
      <c r="BT75" s="44"/>
    </row>
    <row r="76" spans="1:72" x14ac:dyDescent="0.25">
      <c r="A76" s="166"/>
      <c r="B76" s="102" t="s">
        <v>59</v>
      </c>
      <c r="C76" s="92"/>
      <c r="D76" s="86">
        <f t="shared" si="125"/>
        <v>5.7696259311898146E-2</v>
      </c>
      <c r="E76" s="86">
        <f t="shared" si="125"/>
        <v>9.558973403902836E-2</v>
      </c>
      <c r="F76" s="86">
        <f t="shared" si="125"/>
        <v>0.13444209206439822</v>
      </c>
      <c r="G76" s="86">
        <f t="shared" si="125"/>
        <v>0.16998915175548807</v>
      </c>
      <c r="H76" s="86">
        <f t="shared" si="125"/>
        <v>0.1982301779751259</v>
      </c>
      <c r="I76" s="86">
        <f t="shared" si="125"/>
        <v>0.21698337848070173</v>
      </c>
      <c r="J76" s="86">
        <f t="shared" si="125"/>
        <v>0.22626111002694649</v>
      </c>
      <c r="K76" s="86">
        <f t="shared" si="125"/>
        <v>0.22760855828060983</v>
      </c>
      <c r="L76" s="86">
        <f t="shared" si="125"/>
        <v>0.22316072118820399</v>
      </c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AZ76" s="86"/>
      <c r="BA76" s="86"/>
      <c r="BB76" s="86"/>
      <c r="BC76" s="86"/>
      <c r="BD76" s="86"/>
      <c r="BE76" s="86"/>
      <c r="BF76" s="86"/>
      <c r="BG76" s="86"/>
      <c r="BH76" s="86"/>
      <c r="BI76" s="86"/>
      <c r="BJ76" s="86"/>
      <c r="BK76" s="86"/>
      <c r="BL76" s="86"/>
      <c r="BM76" s="86"/>
      <c r="BN76" s="86"/>
      <c r="BO76" s="86"/>
      <c r="BP76" s="86"/>
    </row>
    <row r="77" spans="1:72" x14ac:dyDescent="0.25">
      <c r="A77" s="166"/>
      <c r="B77" s="102" t="s">
        <v>60</v>
      </c>
      <c r="C77" s="92"/>
      <c r="D77" s="86">
        <f t="shared" si="125"/>
        <v>1.8286332048085736E-2</v>
      </c>
      <c r="E77" s="86">
        <f t="shared" si="125"/>
        <v>3.590754137334623E-2</v>
      </c>
      <c r="F77" s="86">
        <f t="shared" si="125"/>
        <v>5.9373880830705161E-2</v>
      </c>
      <c r="G77" s="86">
        <f t="shared" si="125"/>
        <v>8.8025149314100493E-2</v>
      </c>
      <c r="H77" s="86">
        <f t="shared" si="125"/>
        <v>0.12009351351781772</v>
      </c>
      <c r="I77" s="86">
        <f t="shared" si="125"/>
        <v>0.15336526921080684</v>
      </c>
      <c r="J77" s="86">
        <f t="shared" si="125"/>
        <v>0.18591753570691211</v>
      </c>
      <c r="K77" s="86">
        <f t="shared" si="125"/>
        <v>0.21649793988743607</v>
      </c>
      <c r="L77" s="86">
        <f t="shared" si="125"/>
        <v>0.24450902300571251</v>
      </c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AZ77" s="86"/>
      <c r="BA77" s="86"/>
      <c r="BB77" s="86"/>
      <c r="BC77" s="86"/>
      <c r="BD77" s="86"/>
      <c r="BE77" s="86"/>
      <c r="BF77" s="86"/>
      <c r="BG77" s="86"/>
      <c r="BH77" s="86"/>
      <c r="BI77" s="86"/>
      <c r="BJ77" s="86"/>
      <c r="BK77" s="86"/>
      <c r="BL77" s="86"/>
      <c r="BM77" s="86"/>
      <c r="BN77" s="86"/>
      <c r="BO77" s="86"/>
      <c r="BP77" s="86"/>
    </row>
    <row r="78" spans="1:72" x14ac:dyDescent="0.25">
      <c r="A78" s="166"/>
      <c r="B78" s="102" t="s">
        <v>61</v>
      </c>
      <c r="C78" s="92"/>
      <c r="D78" s="86">
        <f t="shared" si="125"/>
        <v>0</v>
      </c>
      <c r="E78" s="86">
        <f t="shared" si="125"/>
        <v>0</v>
      </c>
      <c r="F78" s="86">
        <f t="shared" si="125"/>
        <v>0</v>
      </c>
      <c r="G78" s="86">
        <f t="shared" si="125"/>
        <v>0</v>
      </c>
      <c r="H78" s="86">
        <f t="shared" si="125"/>
        <v>0</v>
      </c>
      <c r="I78" s="86">
        <f t="shared" si="125"/>
        <v>0</v>
      </c>
      <c r="J78" s="86">
        <f t="shared" si="125"/>
        <v>0</v>
      </c>
      <c r="K78" s="86">
        <f t="shared" si="125"/>
        <v>0</v>
      </c>
      <c r="L78" s="86">
        <f t="shared" si="125"/>
        <v>0</v>
      </c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AZ78" s="86"/>
      <c r="BA78" s="86"/>
      <c r="BB78" s="86"/>
      <c r="BC78" s="86"/>
      <c r="BD78" s="86"/>
      <c r="BE78" s="86"/>
      <c r="BF78" s="86"/>
      <c r="BG78" s="86"/>
      <c r="BH78" s="86"/>
      <c r="BI78" s="86"/>
      <c r="BJ78" s="86"/>
      <c r="BK78" s="86"/>
      <c r="BL78" s="86"/>
      <c r="BM78" s="86"/>
      <c r="BN78" s="86"/>
      <c r="BO78" s="86"/>
      <c r="BP78" s="86"/>
    </row>
    <row r="79" spans="1:72" x14ac:dyDescent="0.25">
      <c r="A79" s="166"/>
      <c r="B79" s="102" t="s">
        <v>62</v>
      </c>
      <c r="C79" s="92"/>
      <c r="D79" s="86">
        <f t="shared" si="125"/>
        <v>0</v>
      </c>
      <c r="E79" s="86">
        <f t="shared" si="125"/>
        <v>0</v>
      </c>
      <c r="F79" s="86">
        <f t="shared" si="125"/>
        <v>0</v>
      </c>
      <c r="G79" s="86">
        <f t="shared" si="125"/>
        <v>0</v>
      </c>
      <c r="H79" s="86">
        <f t="shared" si="125"/>
        <v>0</v>
      </c>
      <c r="I79" s="86">
        <f t="shared" si="125"/>
        <v>0</v>
      </c>
      <c r="J79" s="86">
        <f t="shared" si="125"/>
        <v>0</v>
      </c>
      <c r="K79" s="86">
        <f t="shared" si="125"/>
        <v>0</v>
      </c>
      <c r="L79" s="86">
        <f t="shared" si="125"/>
        <v>0</v>
      </c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AZ79" s="86"/>
      <c r="BA79" s="86"/>
      <c r="BB79" s="86"/>
      <c r="BC79" s="86"/>
      <c r="BD79" s="86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</row>
    <row r="80" spans="1:72" x14ac:dyDescent="0.25">
      <c r="A80" s="166"/>
      <c r="B80" s="102" t="s">
        <v>63</v>
      </c>
      <c r="C80" s="92"/>
      <c r="D80" s="86">
        <f t="shared" si="125"/>
        <v>0</v>
      </c>
      <c r="E80" s="86">
        <f t="shared" si="125"/>
        <v>0</v>
      </c>
      <c r="F80" s="86">
        <f t="shared" si="125"/>
        <v>0</v>
      </c>
      <c r="G80" s="86">
        <f t="shared" si="125"/>
        <v>0</v>
      </c>
      <c r="H80" s="86">
        <f t="shared" si="125"/>
        <v>0</v>
      </c>
      <c r="I80" s="86">
        <f t="shared" si="125"/>
        <v>0</v>
      </c>
      <c r="J80" s="86">
        <f t="shared" si="125"/>
        <v>0</v>
      </c>
      <c r="K80" s="86">
        <f t="shared" si="125"/>
        <v>0</v>
      </c>
      <c r="L80" s="86">
        <f t="shared" si="125"/>
        <v>0</v>
      </c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AZ80" s="86"/>
      <c r="BA80" s="86"/>
      <c r="BB80" s="86"/>
      <c r="BC80" s="86"/>
      <c r="BD80" s="86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</row>
    <row r="81" spans="1:68" x14ac:dyDescent="0.25">
      <c r="A81" s="166"/>
      <c r="B81" s="102" t="s">
        <v>64</v>
      </c>
      <c r="C81" s="92"/>
      <c r="D81" s="86">
        <f t="shared" si="125"/>
        <v>0</v>
      </c>
      <c r="E81" s="86">
        <f t="shared" si="125"/>
        <v>0</v>
      </c>
      <c r="F81" s="86">
        <f t="shared" si="125"/>
        <v>0</v>
      </c>
      <c r="G81" s="86">
        <f t="shared" si="125"/>
        <v>0</v>
      </c>
      <c r="H81" s="86">
        <f t="shared" si="125"/>
        <v>0</v>
      </c>
      <c r="I81" s="86">
        <f t="shared" si="125"/>
        <v>0</v>
      </c>
      <c r="J81" s="86">
        <f t="shared" si="125"/>
        <v>0</v>
      </c>
      <c r="K81" s="86">
        <f t="shared" si="125"/>
        <v>0</v>
      </c>
      <c r="L81" s="86">
        <f t="shared" si="125"/>
        <v>0</v>
      </c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AZ81" s="86"/>
      <c r="BA81" s="86"/>
      <c r="BB81" s="86"/>
      <c r="BC81" s="86"/>
      <c r="BD81" s="86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</row>
    <row r="82" spans="1:68" x14ac:dyDescent="0.25">
      <c r="A82" s="167"/>
      <c r="B82" s="103" t="s">
        <v>65</v>
      </c>
      <c r="C82" s="93"/>
      <c r="D82" s="86">
        <f t="shared" si="125"/>
        <v>0</v>
      </c>
      <c r="E82" s="86">
        <f t="shared" si="125"/>
        <v>0</v>
      </c>
      <c r="F82" s="86">
        <f t="shared" si="125"/>
        <v>0</v>
      </c>
      <c r="G82" s="86">
        <f t="shared" si="125"/>
        <v>0</v>
      </c>
      <c r="H82" s="86">
        <f t="shared" si="125"/>
        <v>0</v>
      </c>
      <c r="I82" s="86">
        <f t="shared" si="125"/>
        <v>0</v>
      </c>
      <c r="J82" s="86">
        <f t="shared" si="125"/>
        <v>0</v>
      </c>
      <c r="K82" s="86">
        <f t="shared" si="125"/>
        <v>0</v>
      </c>
      <c r="L82" s="86">
        <f t="shared" si="125"/>
        <v>0</v>
      </c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AZ82" s="86"/>
      <c r="BA82" s="86"/>
      <c r="BB82" s="86"/>
      <c r="BC82" s="86"/>
      <c r="BD82" s="86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</row>
    <row r="83" spans="1:68" x14ac:dyDescent="0.25">
      <c r="A83" s="105"/>
      <c r="B83" s="102" t="s">
        <v>112</v>
      </c>
      <c r="C83" s="102"/>
      <c r="D83" s="85">
        <f t="shared" ref="D83:E83" si="126">EXP($C10-$D10/($E10+D$118))/$D$5</f>
        <v>3.1208536750912792</v>
      </c>
      <c r="E83" s="85">
        <f t="shared" ref="E83:F83" si="127">EXP($C10-$D10/($E10+E$118))/$D$5</f>
        <v>3.2670457985507748</v>
      </c>
      <c r="F83" s="85">
        <f t="shared" si="127"/>
        <v>3.3951683164549675</v>
      </c>
      <c r="G83" s="85">
        <f t="shared" ref="G83:H83" si="128">EXP($C10-$D10/($E10+G$118))/$D$5</f>
        <v>3.5149232239863037</v>
      </c>
      <c r="H83" s="85">
        <f t="shared" si="128"/>
        <v>3.623032993187973</v>
      </c>
      <c r="I83" s="85">
        <f t="shared" ref="I83:J83" si="129">EXP($C10-$D10/($E10+I$118))/$D$5</f>
        <v>3.7153744697381446</v>
      </c>
      <c r="J83" s="85">
        <f t="shared" si="129"/>
        <v>3.7905219154729899</v>
      </c>
      <c r="K83" s="85">
        <f t="shared" ref="K83:L83" si="130">EXP($C10-$D10/($E10+K$118))/$D$5</f>
        <v>3.8496977856763679</v>
      </c>
      <c r="L83" s="85">
        <f t="shared" si="130"/>
        <v>3.8955451135183026</v>
      </c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5"/>
      <c r="AV83" s="85"/>
      <c r="AW83" s="85"/>
      <c r="AX83" s="85"/>
      <c r="AY83" s="85"/>
      <c r="AZ83" s="85"/>
      <c r="BA83" s="85"/>
      <c r="BB83" s="85"/>
      <c r="BC83" s="85"/>
      <c r="BD83" s="85"/>
      <c r="BE83" s="85"/>
      <c r="BF83" s="85"/>
      <c r="BG83" s="85"/>
      <c r="BH83" s="85"/>
      <c r="BI83" s="85"/>
      <c r="BJ83" s="85"/>
      <c r="BK83" s="85"/>
      <c r="BL83" s="85"/>
      <c r="BM83" s="85"/>
      <c r="BN83" s="85"/>
      <c r="BO83" s="85"/>
      <c r="BP83" s="85"/>
    </row>
    <row r="84" spans="1:68" x14ac:dyDescent="0.25">
      <c r="A84" s="20"/>
      <c r="B84" s="20" t="s">
        <v>113</v>
      </c>
      <c r="C84" s="20"/>
      <c r="D84" s="85">
        <f t="shared" ref="D84:E92" si="131">EXP($C11-$D11/($E11+D$118))/$D$5</f>
        <v>1.3353053831510953</v>
      </c>
      <c r="E84" s="85">
        <f t="shared" ref="E84:F84" si="132">EXP($C11-$D11/($E11+E$118))/$D$5</f>
        <v>1.4069405495290526</v>
      </c>
      <c r="F84" s="85">
        <f t="shared" si="132"/>
        <v>1.4700725294512491</v>
      </c>
      <c r="G84" s="85">
        <f t="shared" ref="G84:H84" si="133">EXP($C11-$D11/($E11+G$118))/$D$5</f>
        <v>1.5293670373854691</v>
      </c>
      <c r="H84" s="85">
        <f t="shared" si="133"/>
        <v>1.5831251349945437</v>
      </c>
      <c r="I84" s="85">
        <f t="shared" ref="I84:J84" si="134">EXP($C11-$D11/($E11+I$118))/$D$5</f>
        <v>1.6292099840797536</v>
      </c>
      <c r="J84" s="85">
        <f t="shared" si="134"/>
        <v>1.6668251103404079</v>
      </c>
      <c r="K84" s="85">
        <f t="shared" ref="K84:L84" si="135">EXP($C11-$D11/($E11+K$118))/$D$5</f>
        <v>1.6965146106494742</v>
      </c>
      <c r="L84" s="85">
        <f t="shared" si="135"/>
        <v>1.7195581205070269</v>
      </c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5"/>
      <c r="AV84" s="85"/>
      <c r="AW84" s="85"/>
      <c r="AX84" s="85"/>
      <c r="AY84" s="85"/>
      <c r="AZ84" s="85"/>
      <c r="BA84" s="85"/>
      <c r="BB84" s="85"/>
      <c r="BC84" s="85"/>
      <c r="BD84" s="85"/>
      <c r="BE84" s="85"/>
      <c r="BF84" s="85"/>
      <c r="BG84" s="85"/>
      <c r="BH84" s="85"/>
      <c r="BI84" s="85"/>
      <c r="BJ84" s="85"/>
      <c r="BK84" s="85"/>
      <c r="BL84" s="85"/>
      <c r="BM84" s="85"/>
      <c r="BN84" s="85"/>
      <c r="BO84" s="85"/>
      <c r="BP84" s="85"/>
    </row>
    <row r="85" spans="1:68" x14ac:dyDescent="0.25">
      <c r="A85" s="20"/>
      <c r="B85" s="20" t="s">
        <v>114</v>
      </c>
      <c r="C85" s="20"/>
      <c r="D85" s="85">
        <f t="shared" si="131"/>
        <v>0.91470031094558402</v>
      </c>
      <c r="E85" s="85">
        <f t="shared" ref="E85:F85" si="136">EXP($C12-$D12/($E12+E$118))/$D$5</f>
        <v>0.96723866100717459</v>
      </c>
      <c r="F85" s="85">
        <f t="shared" si="136"/>
        <v>1.0136907823093448</v>
      </c>
      <c r="G85" s="85">
        <f t="shared" ref="G85:H85" si="137">EXP($C12-$D12/($E12+G$118))/$D$5</f>
        <v>1.0574420271874225</v>
      </c>
      <c r="H85" s="85">
        <f t="shared" si="137"/>
        <v>1.0972071218120936</v>
      </c>
      <c r="I85" s="85">
        <f t="shared" ref="I85:J85" si="138">EXP($C12-$D12/($E12+I$118))/$D$5</f>
        <v>1.131368805518431</v>
      </c>
      <c r="J85" s="85">
        <f t="shared" si="138"/>
        <v>1.1593003590996631</v>
      </c>
      <c r="K85" s="85">
        <f t="shared" ref="K85:L85" si="139">EXP($C12-$D12/($E12+K$118))/$D$5</f>
        <v>1.1813766297424602</v>
      </c>
      <c r="L85" s="85">
        <f t="shared" si="139"/>
        <v>1.1985290543549794</v>
      </c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5"/>
      <c r="AV85" s="85"/>
      <c r="AW85" s="85"/>
      <c r="AX85" s="85"/>
      <c r="AY85" s="85"/>
      <c r="AZ85" s="85"/>
      <c r="BA85" s="85"/>
      <c r="BB85" s="85"/>
      <c r="BC85" s="85"/>
      <c r="BD85" s="85"/>
      <c r="BE85" s="85"/>
      <c r="BF85" s="85"/>
      <c r="BG85" s="85"/>
      <c r="BH85" s="85"/>
      <c r="BI85" s="85"/>
      <c r="BJ85" s="85"/>
      <c r="BK85" s="85"/>
      <c r="BL85" s="85"/>
      <c r="BM85" s="85"/>
      <c r="BN85" s="85"/>
      <c r="BO85" s="85"/>
      <c r="BP85" s="85"/>
    </row>
    <row r="86" spans="1:68" x14ac:dyDescent="0.25">
      <c r="A86" s="20"/>
      <c r="B86" s="20" t="s">
        <v>115</v>
      </c>
      <c r="C86" s="20"/>
      <c r="D86" s="85">
        <f t="shared" si="131"/>
        <v>0.45210818384911677</v>
      </c>
      <c r="E86" s="85">
        <f t="shared" ref="E86:F86" si="140">EXP($C13-$D13/($E13+E$118))/$D$5</f>
        <v>0.48156579798624294</v>
      </c>
      <c r="F86" s="85">
        <f t="shared" si="140"/>
        <v>0.50777813900568658</v>
      </c>
      <c r="G86" s="85">
        <f t="shared" ref="G86:H86" si="141">EXP($C13-$D13/($E13+G$118))/$D$5</f>
        <v>0.53260365986125235</v>
      </c>
      <c r="H86" s="85">
        <f t="shared" si="141"/>
        <v>0.55527844860083153</v>
      </c>
      <c r="I86" s="85">
        <f t="shared" ref="I86:J86" si="142">EXP($C13-$D13/($E13+I$118))/$D$5</f>
        <v>0.57483975432408529</v>
      </c>
      <c r="J86" s="85">
        <f t="shared" si="142"/>
        <v>0.59088816121774379</v>
      </c>
      <c r="K86" s="85">
        <f t="shared" ref="K86:L86" si="143">EXP($C13-$D13/($E13+K$118))/$D$5</f>
        <v>0.60360627761048791</v>
      </c>
      <c r="L86" s="85">
        <f t="shared" si="143"/>
        <v>0.61350808888593977</v>
      </c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5"/>
      <c r="AV86" s="85"/>
      <c r="AW86" s="85"/>
      <c r="AX86" s="85"/>
      <c r="AY86" s="85"/>
      <c r="AZ86" s="85"/>
      <c r="BA86" s="85"/>
      <c r="BB86" s="85"/>
      <c r="BC86" s="85"/>
      <c r="BD86" s="85"/>
      <c r="BE86" s="85"/>
      <c r="BF86" s="85"/>
      <c r="BG86" s="85"/>
      <c r="BH86" s="85"/>
      <c r="BI86" s="85"/>
      <c r="BJ86" s="85"/>
      <c r="BK86" s="85"/>
      <c r="BL86" s="85"/>
      <c r="BM86" s="85"/>
      <c r="BN86" s="85"/>
      <c r="BO86" s="85"/>
      <c r="BP86" s="85"/>
    </row>
    <row r="87" spans="1:68" x14ac:dyDescent="0.25">
      <c r="A87" s="20"/>
      <c r="B87" s="20" t="s">
        <v>116</v>
      </c>
      <c r="C87" s="20"/>
      <c r="D87" s="85">
        <f t="shared" si="131"/>
        <v>0.36387467399722345</v>
      </c>
      <c r="E87" s="85">
        <f t="shared" ref="E87:F87" si="144">EXP($C14-$D14/($E14+E$118))/$D$5</f>
        <v>0.38890459322345794</v>
      </c>
      <c r="F87" s="85">
        <f t="shared" si="144"/>
        <v>0.41124686157732232</v>
      </c>
      <c r="G87" s="85">
        <f t="shared" ref="G87:H87" si="145">EXP($C14-$D14/($E14+G$118))/$D$5</f>
        <v>0.43246466045831083</v>
      </c>
      <c r="H87" s="85">
        <f t="shared" si="145"/>
        <v>0.45189109636477359</v>
      </c>
      <c r="I87" s="85">
        <f t="shared" ref="I87:J87" si="146">EXP($C14-$D14/($E14+I$118))/$D$5</f>
        <v>0.46868462299614244</v>
      </c>
      <c r="J87" s="85">
        <f t="shared" si="146"/>
        <v>0.48248542568129571</v>
      </c>
      <c r="K87" s="85">
        <f t="shared" ref="K87:L87" si="147">EXP($C14-$D14/($E14+K$118))/$D$5</f>
        <v>0.49343677226802524</v>
      </c>
      <c r="L87" s="85">
        <f t="shared" si="147"/>
        <v>0.50197169851825174</v>
      </c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5"/>
      <c r="AV87" s="85"/>
      <c r="AW87" s="85"/>
      <c r="AX87" s="85"/>
      <c r="AY87" s="85"/>
      <c r="AZ87" s="85"/>
      <c r="BA87" s="85"/>
      <c r="BB87" s="85"/>
      <c r="BC87" s="85"/>
      <c r="BD87" s="85"/>
      <c r="BE87" s="85"/>
      <c r="BF87" s="85"/>
      <c r="BG87" s="85"/>
      <c r="BH87" s="85"/>
      <c r="BI87" s="85"/>
      <c r="BJ87" s="85"/>
      <c r="BK87" s="85"/>
      <c r="BL87" s="85"/>
      <c r="BM87" s="85"/>
      <c r="BN87" s="85"/>
      <c r="BO87" s="85"/>
      <c r="BP87" s="85"/>
    </row>
    <row r="88" spans="1:68" x14ac:dyDescent="0.25">
      <c r="A88" s="20"/>
      <c r="B88" s="20" t="s">
        <v>145</v>
      </c>
      <c r="C88" s="20"/>
      <c r="D88" s="85">
        <f t="shared" si="131"/>
        <v>1.5785177228786252E-4</v>
      </c>
      <c r="E88" s="85">
        <f t="shared" ref="E88:F88" si="148">EXP($C15-$D15/($E15+E$118))/$D$5</f>
        <v>1.5785177228786252E-4</v>
      </c>
      <c r="F88" s="85">
        <f t="shared" si="148"/>
        <v>1.5785177228786252E-4</v>
      </c>
      <c r="G88" s="85">
        <f t="shared" ref="G88:H88" si="149">EXP($C15-$D15/($E15+G$118))/$D$5</f>
        <v>1.5785177228786252E-4</v>
      </c>
      <c r="H88" s="85">
        <f t="shared" si="149"/>
        <v>1.5785177228786252E-4</v>
      </c>
      <c r="I88" s="85">
        <f t="shared" ref="I88:J88" si="150">EXP($C15-$D15/($E15+I$118))/$D$5</f>
        <v>1.5785177228786252E-4</v>
      </c>
      <c r="J88" s="85">
        <f t="shared" si="150"/>
        <v>1.5785177228786252E-4</v>
      </c>
      <c r="K88" s="85">
        <f t="shared" ref="K88:L88" si="151">EXP($C15-$D15/($E15+K$118))/$D$5</f>
        <v>1.5785177228786252E-4</v>
      </c>
      <c r="L88" s="85">
        <f t="shared" si="151"/>
        <v>1.5785177228786252E-4</v>
      </c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  <c r="AM88" s="85"/>
      <c r="AN88" s="85"/>
      <c r="AO88" s="85"/>
      <c r="AP88" s="85"/>
      <c r="AQ88" s="85"/>
      <c r="AR88" s="85"/>
      <c r="AS88" s="85"/>
      <c r="AT88" s="85"/>
      <c r="AU88" s="85"/>
      <c r="AV88" s="85"/>
      <c r="AW88" s="85"/>
      <c r="AX88" s="85"/>
      <c r="AY88" s="85"/>
      <c r="AZ88" s="85"/>
      <c r="BA88" s="85"/>
      <c r="BB88" s="85"/>
      <c r="BC88" s="85"/>
      <c r="BD88" s="85"/>
      <c r="BE88" s="85"/>
      <c r="BF88" s="85"/>
      <c r="BG88" s="85"/>
      <c r="BH88" s="85"/>
      <c r="BI88" s="85"/>
      <c r="BJ88" s="85"/>
      <c r="BK88" s="85"/>
      <c r="BL88" s="85"/>
      <c r="BM88" s="85"/>
      <c r="BN88" s="85"/>
      <c r="BO88" s="85"/>
      <c r="BP88" s="85"/>
    </row>
    <row r="89" spans="1:68" x14ac:dyDescent="0.25">
      <c r="A89" s="20"/>
      <c r="B89" s="20" t="s">
        <v>146</v>
      </c>
      <c r="C89" s="20"/>
      <c r="D89" s="85">
        <f t="shared" si="131"/>
        <v>1.5785177228786252E-4</v>
      </c>
      <c r="E89" s="85">
        <f t="shared" ref="E89:F89" si="152">EXP($C16-$D16/($E16+E$118))/$D$5</f>
        <v>1.5785177228786252E-4</v>
      </c>
      <c r="F89" s="85">
        <f t="shared" si="152"/>
        <v>1.5785177228786252E-4</v>
      </c>
      <c r="G89" s="85">
        <f t="shared" ref="G89:H89" si="153">EXP($C16-$D16/($E16+G$118))/$D$5</f>
        <v>1.5785177228786252E-4</v>
      </c>
      <c r="H89" s="85">
        <f t="shared" si="153"/>
        <v>1.5785177228786252E-4</v>
      </c>
      <c r="I89" s="85">
        <f t="shared" ref="I89:J89" si="154">EXP($C16-$D16/($E16+I$118))/$D$5</f>
        <v>1.5785177228786252E-4</v>
      </c>
      <c r="J89" s="85">
        <f t="shared" si="154"/>
        <v>1.5785177228786252E-4</v>
      </c>
      <c r="K89" s="85">
        <f t="shared" ref="K89:L89" si="155">EXP($C16-$D16/($E16+K$118))/$D$5</f>
        <v>1.5785177228786252E-4</v>
      </c>
      <c r="L89" s="85">
        <f t="shared" si="155"/>
        <v>1.5785177228786252E-4</v>
      </c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  <c r="AM89" s="85"/>
      <c r="AN89" s="85"/>
      <c r="AO89" s="85"/>
      <c r="AP89" s="85"/>
      <c r="AQ89" s="85"/>
      <c r="AR89" s="85"/>
      <c r="AS89" s="85"/>
      <c r="AT89" s="85"/>
      <c r="AU89" s="85"/>
      <c r="AV89" s="85"/>
      <c r="AW89" s="85"/>
      <c r="AX89" s="85"/>
      <c r="AY89" s="85"/>
      <c r="AZ89" s="85"/>
      <c r="BA89" s="85"/>
      <c r="BB89" s="85"/>
      <c r="BC89" s="85"/>
      <c r="BD89" s="85"/>
      <c r="BE89" s="85"/>
      <c r="BF89" s="85"/>
      <c r="BG89" s="85"/>
      <c r="BH89" s="85"/>
      <c r="BI89" s="85"/>
      <c r="BJ89" s="85"/>
      <c r="BK89" s="85"/>
      <c r="BL89" s="85"/>
      <c r="BM89" s="85"/>
      <c r="BN89" s="85"/>
      <c r="BO89" s="85"/>
      <c r="BP89" s="85"/>
    </row>
    <row r="90" spans="1:68" x14ac:dyDescent="0.25">
      <c r="A90" s="20"/>
      <c r="B90" s="20" t="s">
        <v>147</v>
      </c>
      <c r="C90" s="20"/>
      <c r="D90" s="85">
        <f t="shared" si="131"/>
        <v>1.5785177228786252E-4</v>
      </c>
      <c r="E90" s="85">
        <f t="shared" ref="E90:F90" si="156">EXP($C17-$D17/($E17+E$118))/$D$5</f>
        <v>1.5785177228786252E-4</v>
      </c>
      <c r="F90" s="85">
        <f t="shared" si="156"/>
        <v>1.5785177228786252E-4</v>
      </c>
      <c r="G90" s="85">
        <f t="shared" ref="G90:H90" si="157">EXP($C17-$D17/($E17+G$118))/$D$5</f>
        <v>1.5785177228786252E-4</v>
      </c>
      <c r="H90" s="85">
        <f t="shared" si="157"/>
        <v>1.5785177228786252E-4</v>
      </c>
      <c r="I90" s="85">
        <f t="shared" ref="I90:J90" si="158">EXP($C17-$D17/($E17+I$118))/$D$5</f>
        <v>1.5785177228786252E-4</v>
      </c>
      <c r="J90" s="85">
        <f t="shared" si="158"/>
        <v>1.5785177228786252E-4</v>
      </c>
      <c r="K90" s="85">
        <f t="shared" ref="K90:L90" si="159">EXP($C17-$D17/($E17+K$118))/$D$5</f>
        <v>1.5785177228786252E-4</v>
      </c>
      <c r="L90" s="85">
        <f t="shared" si="159"/>
        <v>1.5785177228786252E-4</v>
      </c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5"/>
      <c r="AM90" s="85"/>
      <c r="AN90" s="85"/>
      <c r="AO90" s="85"/>
      <c r="AP90" s="85"/>
      <c r="AQ90" s="85"/>
      <c r="AR90" s="85"/>
      <c r="AS90" s="85"/>
      <c r="AT90" s="85"/>
      <c r="AU90" s="85"/>
      <c r="AV90" s="85"/>
      <c r="AW90" s="85"/>
      <c r="AX90" s="85"/>
      <c r="AY90" s="85"/>
      <c r="AZ90" s="85"/>
      <c r="BA90" s="85"/>
      <c r="BB90" s="85"/>
      <c r="BC90" s="85"/>
      <c r="BD90" s="85"/>
      <c r="BE90" s="85"/>
      <c r="BF90" s="85"/>
      <c r="BG90" s="85"/>
      <c r="BH90" s="85"/>
      <c r="BI90" s="85"/>
      <c r="BJ90" s="85"/>
      <c r="BK90" s="85"/>
      <c r="BL90" s="85"/>
      <c r="BM90" s="85"/>
      <c r="BN90" s="85"/>
      <c r="BO90" s="85"/>
      <c r="BP90" s="85"/>
    </row>
    <row r="91" spans="1:68" x14ac:dyDescent="0.25">
      <c r="A91" s="20"/>
      <c r="B91" s="20" t="s">
        <v>148</v>
      </c>
      <c r="C91" s="20"/>
      <c r="D91" s="85">
        <f t="shared" si="131"/>
        <v>1.5785177228786252E-4</v>
      </c>
      <c r="E91" s="85">
        <f t="shared" ref="E91:F91" si="160">EXP($C18-$D18/($E18+E$118))/$D$5</f>
        <v>1.5785177228786252E-4</v>
      </c>
      <c r="F91" s="85">
        <f t="shared" si="160"/>
        <v>1.5785177228786252E-4</v>
      </c>
      <c r="G91" s="85">
        <f t="shared" ref="G91:H91" si="161">EXP($C18-$D18/($E18+G$118))/$D$5</f>
        <v>1.5785177228786252E-4</v>
      </c>
      <c r="H91" s="85">
        <f t="shared" si="161"/>
        <v>1.5785177228786252E-4</v>
      </c>
      <c r="I91" s="85">
        <f t="shared" ref="I91:J91" si="162">EXP($C18-$D18/($E18+I$118))/$D$5</f>
        <v>1.5785177228786252E-4</v>
      </c>
      <c r="J91" s="85">
        <f t="shared" si="162"/>
        <v>1.5785177228786252E-4</v>
      </c>
      <c r="K91" s="85">
        <f t="shared" ref="K91:L91" si="163">EXP($C18-$D18/($E18+K$118))/$D$5</f>
        <v>1.5785177228786252E-4</v>
      </c>
      <c r="L91" s="85">
        <f t="shared" si="163"/>
        <v>1.5785177228786252E-4</v>
      </c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5"/>
      <c r="AM91" s="85"/>
      <c r="AN91" s="85"/>
      <c r="AO91" s="85"/>
      <c r="AP91" s="85"/>
      <c r="AQ91" s="85"/>
      <c r="AR91" s="85"/>
      <c r="AS91" s="85"/>
      <c r="AT91" s="85"/>
      <c r="AU91" s="85"/>
      <c r="AV91" s="85"/>
      <c r="AW91" s="85"/>
      <c r="AX91" s="85"/>
      <c r="AY91" s="85"/>
      <c r="AZ91" s="85"/>
      <c r="BA91" s="85"/>
      <c r="BB91" s="85"/>
      <c r="BC91" s="85"/>
      <c r="BD91" s="85"/>
      <c r="BE91" s="85"/>
      <c r="BF91" s="85"/>
      <c r="BG91" s="85"/>
      <c r="BH91" s="85"/>
      <c r="BI91" s="85"/>
      <c r="BJ91" s="85"/>
      <c r="BK91" s="85"/>
      <c r="BL91" s="85"/>
      <c r="BM91" s="85"/>
      <c r="BN91" s="85"/>
      <c r="BO91" s="85"/>
      <c r="BP91" s="85"/>
    </row>
    <row r="92" spans="1:68" x14ac:dyDescent="0.25">
      <c r="A92" s="20"/>
      <c r="B92" s="20" t="s">
        <v>149</v>
      </c>
      <c r="C92" s="20"/>
      <c r="D92" s="85">
        <f t="shared" si="131"/>
        <v>1.5785177228786252E-4</v>
      </c>
      <c r="E92" s="85">
        <f t="shared" ref="E92:F92" si="164">EXP($C19-$D19/($E19+E$118))/$D$5</f>
        <v>1.5785177228786252E-4</v>
      </c>
      <c r="F92" s="85">
        <f t="shared" si="164"/>
        <v>1.5785177228786252E-4</v>
      </c>
      <c r="G92" s="85">
        <f t="shared" ref="G92:H92" si="165">EXP($C19-$D19/($E19+G$118))/$D$5</f>
        <v>1.5785177228786252E-4</v>
      </c>
      <c r="H92" s="85">
        <f t="shared" si="165"/>
        <v>1.5785177228786252E-4</v>
      </c>
      <c r="I92" s="85">
        <f t="shared" ref="I92:J92" si="166">EXP($C19-$D19/($E19+I$118))/$D$5</f>
        <v>1.5785177228786252E-4</v>
      </c>
      <c r="J92" s="85">
        <f t="shared" si="166"/>
        <v>1.5785177228786252E-4</v>
      </c>
      <c r="K92" s="85">
        <f t="shared" ref="K92:L92" si="167">EXP($C19-$D19/($E19+K$118))/$D$5</f>
        <v>1.5785177228786252E-4</v>
      </c>
      <c r="L92" s="85">
        <f t="shared" si="167"/>
        <v>1.5785177228786252E-4</v>
      </c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  <c r="AM92" s="85"/>
      <c r="AN92" s="85"/>
      <c r="AO92" s="85"/>
      <c r="AP92" s="85"/>
      <c r="AQ92" s="85"/>
      <c r="AR92" s="85"/>
      <c r="AS92" s="85"/>
      <c r="AT92" s="85"/>
      <c r="AU92" s="85"/>
      <c r="AV92" s="85"/>
      <c r="AW92" s="85"/>
      <c r="AX92" s="85"/>
      <c r="AY92" s="85"/>
      <c r="AZ92" s="85"/>
      <c r="BA92" s="85"/>
      <c r="BB92" s="85"/>
      <c r="BC92" s="85"/>
      <c r="BD92" s="85"/>
      <c r="BE92" s="85"/>
      <c r="BF92" s="85"/>
      <c r="BG92" s="85"/>
      <c r="BH92" s="85"/>
      <c r="BI92" s="85"/>
      <c r="BJ92" s="85"/>
      <c r="BK92" s="85"/>
      <c r="BL92" s="85"/>
      <c r="BM92" s="85"/>
      <c r="BN92" s="85"/>
      <c r="BO92" s="85"/>
      <c r="BP92" s="85"/>
    </row>
    <row r="93" spans="1:68" x14ac:dyDescent="0.25">
      <c r="A93" s="20" t="s">
        <v>232</v>
      </c>
      <c r="B93" s="20" t="s">
        <v>117</v>
      </c>
      <c r="C93" s="20"/>
      <c r="D93" s="86">
        <f t="shared" ref="D93:E93" si="168">($C26*(D$40-$C$22)+$E26)</f>
        <v>22.431349197728196</v>
      </c>
      <c r="E93" s="86">
        <f t="shared" ref="E93:F93" si="169">($C26*(E$40-$C$22)+$E26)</f>
        <v>23.304610167660087</v>
      </c>
      <c r="F93" s="86">
        <f t="shared" si="169"/>
        <v>23.85375938069518</v>
      </c>
      <c r="G93" s="86">
        <f t="shared" ref="G93:H93" si="170">($C26*(G$40-$C$22)+$E26)</f>
        <v>24.32195379426966</v>
      </c>
      <c r="H93" s="86">
        <f t="shared" si="170"/>
        <v>24.749261611704256</v>
      </c>
      <c r="I93" s="86">
        <f t="shared" ref="I93:J93" si="171">($C26*(I$40-$C$22)+$E26)</f>
        <v>25.126961160583313</v>
      </c>
      <c r="J93" s="86">
        <f t="shared" si="171"/>
        <v>25.443826877248306</v>
      </c>
      <c r="K93" s="86">
        <f t="shared" ref="K93:L93" si="172">($C26*(K$40-$C$22)+$E26)</f>
        <v>25.697953270943131</v>
      </c>
      <c r="L93" s="86">
        <f t="shared" si="172"/>
        <v>25.895789095578191</v>
      </c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C93" s="86"/>
      <c r="BD93" s="86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</row>
    <row r="94" spans="1:68" x14ac:dyDescent="0.25">
      <c r="A94" s="20"/>
      <c r="B94" s="20" t="s">
        <v>118</v>
      </c>
      <c r="C94" s="20"/>
      <c r="D94" s="86">
        <f t="shared" ref="D94:E102" si="173">($C27*(D$40-$C$22)+$E27)</f>
        <v>25.641508296491843</v>
      </c>
      <c r="E94" s="86">
        <f t="shared" ref="E94:F94" si="174">($C27*(E$40-$C$22)+$E27)</f>
        <v>26.338502414249501</v>
      </c>
      <c r="F94" s="86">
        <f t="shared" si="174"/>
        <v>26.776806408628822</v>
      </c>
      <c r="G94" s="86">
        <f t="shared" ref="G94:H94" si="175">($C27*(G$40-$C$22)+$E27)</f>
        <v>27.150496248739113</v>
      </c>
      <c r="H94" s="86">
        <f t="shared" si="175"/>
        <v>27.491552411190764</v>
      </c>
      <c r="I94" s="86">
        <f t="shared" ref="I94:J94" si="176">($C27*(I$40-$C$22)+$E27)</f>
        <v>27.793013684410106</v>
      </c>
      <c r="J94" s="86">
        <f t="shared" si="176"/>
        <v>28.045920373520222</v>
      </c>
      <c r="K94" s="86">
        <f t="shared" ref="K94:L94" si="177">($C27*(K$40-$C$22)+$E27)</f>
        <v>28.248751609165705</v>
      </c>
      <c r="L94" s="86">
        <f t="shared" si="177"/>
        <v>28.406654470738836</v>
      </c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AZ94" s="86"/>
      <c r="BA94" s="86"/>
      <c r="BB94" s="86"/>
      <c r="BC94" s="86"/>
      <c r="BD94" s="86"/>
      <c r="BE94" s="86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</row>
    <row r="95" spans="1:68" x14ac:dyDescent="0.25">
      <c r="A95" s="20"/>
      <c r="B95" s="20" t="s">
        <v>119</v>
      </c>
      <c r="C95" s="20"/>
      <c r="D95" s="86">
        <f t="shared" si="173"/>
        <v>27.144484181234105</v>
      </c>
      <c r="E95" s="86">
        <f t="shared" ref="E95:F95" si="178">($C28*(E$40-$C$22)+$E28)</f>
        <v>27.84282384748164</v>
      </c>
      <c r="F95" s="86">
        <f t="shared" si="178"/>
        <v>28.281973988568257</v>
      </c>
      <c r="G95" s="86">
        <f t="shared" ref="G95:H95" si="179">($C28*(G$40-$C$22)+$E28)</f>
        <v>28.656385237636293</v>
      </c>
      <c r="H95" s="86">
        <f t="shared" si="179"/>
        <v>28.998099809667966</v>
      </c>
      <c r="I95" s="86">
        <f t="shared" ref="I95:J95" si="180">($C28*(I$40-$C$22)+$E28)</f>
        <v>29.300143054457227</v>
      </c>
      <c r="J95" s="86">
        <f t="shared" si="180"/>
        <v>29.553537980418909</v>
      </c>
      <c r="K95" s="86">
        <f t="shared" ref="K95:L95" si="181">($C28*(K$40-$C$22)+$E28)</f>
        <v>29.75676078215637</v>
      </c>
      <c r="L95" s="86">
        <f t="shared" si="181"/>
        <v>29.914968475508601</v>
      </c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AZ95" s="86"/>
      <c r="BA95" s="86"/>
      <c r="BB95" s="86"/>
      <c r="BC95" s="86"/>
      <c r="BD95" s="86"/>
      <c r="BE95" s="86"/>
      <c r="BF95" s="86"/>
      <c r="BG95" s="86"/>
      <c r="BH95" s="86"/>
      <c r="BI95" s="86"/>
      <c r="BJ95" s="86"/>
      <c r="BK95" s="86"/>
      <c r="BL95" s="86"/>
      <c r="BM95" s="86"/>
      <c r="BN95" s="86"/>
      <c r="BO95" s="86"/>
      <c r="BP95" s="86"/>
    </row>
    <row r="96" spans="1:68" x14ac:dyDescent="0.25">
      <c r="A96" s="20"/>
      <c r="B96" s="20" t="s">
        <v>120</v>
      </c>
      <c r="C96" s="20"/>
      <c r="D96" s="86">
        <f t="shared" si="173"/>
        <v>29.435505163707372</v>
      </c>
      <c r="E96" s="86">
        <f t="shared" ref="E96:F96" si="182">($C29*(E$40-$C$22)+$E29)</f>
        <v>30.355860330785053</v>
      </c>
      <c r="F96" s="86">
        <f t="shared" si="182"/>
        <v>30.934624678575506</v>
      </c>
      <c r="G96" s="86">
        <f t="shared" ref="G96:H96" si="183">($C29*(G$40-$C$22)+$E29)</f>
        <v>31.428068405670949</v>
      </c>
      <c r="H96" s="86">
        <f t="shared" si="183"/>
        <v>31.878420558406333</v>
      </c>
      <c r="I96" s="86">
        <f t="shared" ref="I96:J96" si="184">($C29*(I$40-$C$22)+$E29)</f>
        <v>32.276489112232646</v>
      </c>
      <c r="J96" s="86">
        <f t="shared" si="184"/>
        <v>32.610443118702378</v>
      </c>
      <c r="K96" s="86">
        <f t="shared" ref="K96:L96" si="185">($C29*(K$40-$C$22)+$E29)</f>
        <v>32.878274325616488</v>
      </c>
      <c r="L96" s="86">
        <f t="shared" si="185"/>
        <v>33.086779262520004</v>
      </c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AZ96" s="86"/>
      <c r="BA96" s="86"/>
      <c r="BB96" s="86"/>
      <c r="BC96" s="86"/>
      <c r="BD96" s="86"/>
      <c r="BE96" s="86"/>
      <c r="BF96" s="86"/>
      <c r="BG96" s="86"/>
      <c r="BH96" s="86"/>
      <c r="BI96" s="86"/>
      <c r="BJ96" s="86"/>
      <c r="BK96" s="86"/>
      <c r="BL96" s="86"/>
      <c r="BM96" s="86"/>
      <c r="BN96" s="86"/>
      <c r="BO96" s="86"/>
      <c r="BP96" s="86"/>
    </row>
    <row r="97" spans="1:68" x14ac:dyDescent="0.25">
      <c r="A97" s="20"/>
      <c r="B97" s="20" t="s">
        <v>121</v>
      </c>
      <c r="C97" s="20"/>
      <c r="D97" s="86">
        <f t="shared" si="173"/>
        <v>31.767675536903774</v>
      </c>
      <c r="E97" s="86">
        <f t="shared" ref="E97:F97" si="186">($C30*(E$40-$C$22)+$E30)</f>
        <v>32.566931339892285</v>
      </c>
      <c r="F97" s="86">
        <f t="shared" si="186"/>
        <v>33.069542484026101</v>
      </c>
      <c r="G97" s="86">
        <f t="shared" ref="G97:H97" si="187">($C30*(G$40-$C$22)+$E30)</f>
        <v>33.498059404924774</v>
      </c>
      <c r="H97" s="86">
        <f t="shared" si="187"/>
        <v>33.889154695458132</v>
      </c>
      <c r="I97" s="86">
        <f t="shared" ref="I97:J97" si="188">($C30*(I$40-$C$22)+$E30)</f>
        <v>34.234845807991512</v>
      </c>
      <c r="J97" s="86">
        <f t="shared" si="188"/>
        <v>34.524858497820482</v>
      </c>
      <c r="K97" s="86">
        <f t="shared" ref="K97:L97" si="189">($C30*(K$40-$C$22)+$E30)</f>
        <v>34.757448756456427</v>
      </c>
      <c r="L97" s="86">
        <f t="shared" si="189"/>
        <v>34.938518833241062</v>
      </c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86"/>
      <c r="BB97" s="86"/>
      <c r="BC97" s="86"/>
      <c r="BD97" s="86"/>
      <c r="BE97" s="86"/>
      <c r="BF97" s="86"/>
      <c r="BG97" s="86"/>
      <c r="BH97" s="86"/>
      <c r="BI97" s="86"/>
      <c r="BJ97" s="86"/>
      <c r="BK97" s="86"/>
      <c r="BL97" s="86"/>
      <c r="BM97" s="86"/>
      <c r="BN97" s="86"/>
      <c r="BO97" s="86"/>
      <c r="BP97" s="86"/>
    </row>
    <row r="98" spans="1:68" x14ac:dyDescent="0.25">
      <c r="A98" s="20"/>
      <c r="B98" s="20" t="s">
        <v>150</v>
      </c>
      <c r="C98" s="20"/>
      <c r="D98" s="86">
        <f t="shared" si="173"/>
        <v>0</v>
      </c>
      <c r="E98" s="86">
        <f t="shared" ref="E98:F98" si="190">($C31*(E$40-$C$22)+$E31)</f>
        <v>0</v>
      </c>
      <c r="F98" s="86">
        <f t="shared" si="190"/>
        <v>0</v>
      </c>
      <c r="G98" s="86">
        <f t="shared" ref="G98:H98" si="191">($C31*(G$40-$C$22)+$E31)</f>
        <v>0</v>
      </c>
      <c r="H98" s="86">
        <f t="shared" si="191"/>
        <v>0</v>
      </c>
      <c r="I98" s="86">
        <f t="shared" ref="I98:J98" si="192">($C31*(I$40-$C$22)+$E31)</f>
        <v>0</v>
      </c>
      <c r="J98" s="86">
        <f t="shared" si="192"/>
        <v>0</v>
      </c>
      <c r="K98" s="86">
        <f t="shared" ref="K98:L98" si="193">($C31*(K$40-$C$22)+$E31)</f>
        <v>0</v>
      </c>
      <c r="L98" s="86">
        <f t="shared" si="193"/>
        <v>0</v>
      </c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AZ98" s="86"/>
      <c r="BA98" s="86"/>
      <c r="BB98" s="86"/>
      <c r="BC98" s="86"/>
      <c r="BD98" s="86"/>
      <c r="BE98" s="86"/>
      <c r="BF98" s="86"/>
      <c r="BG98" s="86"/>
      <c r="BH98" s="86"/>
      <c r="BI98" s="86"/>
      <c r="BJ98" s="86"/>
      <c r="BK98" s="86"/>
      <c r="BL98" s="86"/>
      <c r="BM98" s="86"/>
      <c r="BN98" s="86"/>
      <c r="BO98" s="86"/>
      <c r="BP98" s="86"/>
    </row>
    <row r="99" spans="1:68" x14ac:dyDescent="0.25">
      <c r="A99" s="20"/>
      <c r="B99" s="20" t="s">
        <v>151</v>
      </c>
      <c r="C99" s="20"/>
      <c r="D99" s="86">
        <f t="shared" si="173"/>
        <v>0</v>
      </c>
      <c r="E99" s="86">
        <f t="shared" ref="E99:F99" si="194">($C32*(E$40-$C$22)+$E32)</f>
        <v>0</v>
      </c>
      <c r="F99" s="86">
        <f t="shared" si="194"/>
        <v>0</v>
      </c>
      <c r="G99" s="86">
        <f t="shared" ref="G99:H99" si="195">($C32*(G$40-$C$22)+$E32)</f>
        <v>0</v>
      </c>
      <c r="H99" s="86">
        <f t="shared" si="195"/>
        <v>0</v>
      </c>
      <c r="I99" s="86">
        <f t="shared" ref="I99:J99" si="196">($C32*(I$40-$C$22)+$E32)</f>
        <v>0</v>
      </c>
      <c r="J99" s="86">
        <f t="shared" si="196"/>
        <v>0</v>
      </c>
      <c r="K99" s="86">
        <f t="shared" ref="K99:L99" si="197">($C32*(K$40-$C$22)+$E32)</f>
        <v>0</v>
      </c>
      <c r="L99" s="86">
        <f t="shared" si="197"/>
        <v>0</v>
      </c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AZ99" s="86"/>
      <c r="BA99" s="86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</row>
    <row r="100" spans="1:68" x14ac:dyDescent="0.25">
      <c r="A100" s="20"/>
      <c r="B100" s="20" t="s">
        <v>152</v>
      </c>
      <c r="C100" s="20"/>
      <c r="D100" s="86">
        <f t="shared" si="173"/>
        <v>0</v>
      </c>
      <c r="E100" s="86">
        <f t="shared" ref="E100:F100" si="198">($C33*(E$40-$C$22)+$E33)</f>
        <v>0</v>
      </c>
      <c r="F100" s="86">
        <f t="shared" si="198"/>
        <v>0</v>
      </c>
      <c r="G100" s="86">
        <f t="shared" ref="G100:H100" si="199">($C33*(G$40-$C$22)+$E33)</f>
        <v>0</v>
      </c>
      <c r="H100" s="86">
        <f t="shared" si="199"/>
        <v>0</v>
      </c>
      <c r="I100" s="86">
        <f t="shared" ref="I100:J100" si="200">($C33*(I$40-$C$22)+$E33)</f>
        <v>0</v>
      </c>
      <c r="J100" s="86">
        <f t="shared" si="200"/>
        <v>0</v>
      </c>
      <c r="K100" s="86">
        <f t="shared" ref="K100:L100" si="201">($C33*(K$40-$C$22)+$E33)</f>
        <v>0</v>
      </c>
      <c r="L100" s="86">
        <f t="shared" si="201"/>
        <v>0</v>
      </c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C100" s="86"/>
      <c r="BD100" s="86"/>
      <c r="BE100" s="86"/>
      <c r="BF100" s="86"/>
      <c r="BG100" s="86"/>
      <c r="BH100" s="86"/>
      <c r="BI100" s="86"/>
      <c r="BJ100" s="86"/>
      <c r="BK100" s="86"/>
      <c r="BL100" s="86"/>
      <c r="BM100" s="86"/>
      <c r="BN100" s="86"/>
      <c r="BO100" s="86"/>
      <c r="BP100" s="86"/>
    </row>
    <row r="101" spans="1:68" x14ac:dyDescent="0.25">
      <c r="A101" s="20"/>
      <c r="B101" s="20" t="s">
        <v>153</v>
      </c>
      <c r="C101" s="20"/>
      <c r="D101" s="86">
        <f t="shared" si="173"/>
        <v>0</v>
      </c>
      <c r="E101" s="86">
        <f t="shared" ref="E101:F101" si="202">($C34*(E$40-$C$22)+$E34)</f>
        <v>0</v>
      </c>
      <c r="F101" s="86">
        <f t="shared" si="202"/>
        <v>0</v>
      </c>
      <c r="G101" s="86">
        <f t="shared" ref="G101:H101" si="203">($C34*(G$40-$C$22)+$E34)</f>
        <v>0</v>
      </c>
      <c r="H101" s="86">
        <f t="shared" si="203"/>
        <v>0</v>
      </c>
      <c r="I101" s="86">
        <f t="shared" ref="I101:J101" si="204">($C34*(I$40-$C$22)+$E34)</f>
        <v>0</v>
      </c>
      <c r="J101" s="86">
        <f t="shared" si="204"/>
        <v>0</v>
      </c>
      <c r="K101" s="86">
        <f t="shared" ref="K101:L101" si="205">($C34*(K$40-$C$22)+$E34)</f>
        <v>0</v>
      </c>
      <c r="L101" s="86">
        <f t="shared" si="205"/>
        <v>0</v>
      </c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C101" s="86"/>
      <c r="BD101" s="86"/>
      <c r="BE101" s="86"/>
      <c r="BF101" s="86"/>
      <c r="BG101" s="86"/>
      <c r="BH101" s="86"/>
      <c r="BI101" s="86"/>
      <c r="BJ101" s="86"/>
      <c r="BK101" s="86"/>
      <c r="BL101" s="86"/>
      <c r="BM101" s="86"/>
      <c r="BN101" s="86"/>
      <c r="BO101" s="86"/>
      <c r="BP101" s="86"/>
    </row>
    <row r="102" spans="1:68" x14ac:dyDescent="0.25">
      <c r="A102" s="20"/>
      <c r="B102" s="20" t="s">
        <v>154</v>
      </c>
      <c r="C102" s="20"/>
      <c r="D102" s="86">
        <f t="shared" si="173"/>
        <v>0</v>
      </c>
      <c r="E102" s="86">
        <f t="shared" ref="E102:F102" si="206">($C35*(E$40-$C$22)+$E35)</f>
        <v>0</v>
      </c>
      <c r="F102" s="86">
        <f t="shared" si="206"/>
        <v>0</v>
      </c>
      <c r="G102" s="86">
        <f t="shared" ref="G102:H102" si="207">($C35*(G$40-$C$22)+$E35)</f>
        <v>0</v>
      </c>
      <c r="H102" s="86">
        <f t="shared" si="207"/>
        <v>0</v>
      </c>
      <c r="I102" s="86">
        <f t="shared" ref="I102:J102" si="208">($C35*(I$40-$C$22)+$E35)</f>
        <v>0</v>
      </c>
      <c r="J102" s="86">
        <f t="shared" si="208"/>
        <v>0</v>
      </c>
      <c r="K102" s="86">
        <f t="shared" ref="K102:L102" si="209">($C35*(K$40-$C$22)+$E35)</f>
        <v>0</v>
      </c>
      <c r="L102" s="86">
        <f t="shared" si="209"/>
        <v>0</v>
      </c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C102" s="86"/>
      <c r="BD102" s="86"/>
      <c r="BE102" s="86"/>
      <c r="BF102" s="86"/>
      <c r="BG102" s="86"/>
      <c r="BH102" s="86"/>
      <c r="BI102" s="86"/>
      <c r="BJ102" s="86"/>
      <c r="BK102" s="86"/>
      <c r="BL102" s="86"/>
      <c r="BM102" s="86"/>
      <c r="BN102" s="86"/>
      <c r="BO102" s="86"/>
      <c r="BP102" s="86"/>
    </row>
    <row r="103" spans="1:68" x14ac:dyDescent="0.25">
      <c r="A103" s="20"/>
      <c r="B103" s="20" t="s">
        <v>175</v>
      </c>
      <c r="C103" s="20"/>
      <c r="D103" s="86">
        <f t="shared" ref="D103:E103" si="210">D93*D73+D94*D74+D95*D75+D96*D76+D97*D77+D98*D78+D99*D79+D100*D80+D101*D81+D102*D82</f>
        <v>26.751287966219373</v>
      </c>
      <c r="E103" s="86">
        <f t="shared" ref="E103:F103" si="211">E93*E73+E94*E74+E95*E75+E96*E76+E97*E77+E98*E78+E99*E79+E100*E80+E101*E81+E102*E82</f>
        <v>27.811033814303709</v>
      </c>
      <c r="F103" s="86">
        <f t="shared" si="211"/>
        <v>28.548562816067886</v>
      </c>
      <c r="G103" s="86">
        <f t="shared" ref="G103:H103" si="212">G93*G73+G94*G74+G95*G75+G96*G76+G97*G77+G98*G78+G99*G79+G100*G80+G101*G81+G102*G82</f>
        <v>29.215699163742819</v>
      </c>
      <c r="H103" s="86">
        <f t="shared" si="212"/>
        <v>29.842340710711628</v>
      </c>
      <c r="I103" s="86">
        <f t="shared" ref="I103:J103" si="213">I93*I73+I94*I74+I95*I75+I96*I76+I97*I77+I98*I78+I99*I79+I100*I80+I101*I81+I102*I82</f>
        <v>30.406031286764065</v>
      </c>
      <c r="J103" s="86">
        <f t="shared" si="213"/>
        <v>30.885687184101791</v>
      </c>
      <c r="K103" s="86">
        <f t="shared" ref="K103:L103" si="214">K93*K73+K94*K74+K95*K75+K96*K76+K97*K77+K98*K78+K99*K79+K100*K80+K101*K81+K102*K82</f>
        <v>31.275807071934196</v>
      </c>
      <c r="L103" s="86">
        <f t="shared" si="214"/>
        <v>31.584200060179416</v>
      </c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  <c r="BD103" s="86"/>
      <c r="BE103" s="86"/>
      <c r="BF103" s="86"/>
      <c r="BG103" s="86"/>
      <c r="BH103" s="86"/>
      <c r="BI103" s="86"/>
      <c r="BJ103" s="86"/>
      <c r="BK103" s="86"/>
      <c r="BL103" s="86"/>
      <c r="BM103" s="86"/>
      <c r="BN103" s="86"/>
      <c r="BO103" s="86"/>
      <c r="BP103" s="86"/>
    </row>
    <row r="104" spans="1:68" x14ac:dyDescent="0.25">
      <c r="A104" s="20"/>
      <c r="B104" s="20" t="s">
        <v>122</v>
      </c>
      <c r="C104" s="20"/>
      <c r="D104" s="85">
        <f t="shared" ref="D104:E104" si="215">($D26*(D$118-$C$22)+$F26)</f>
        <v>34.001358438535441</v>
      </c>
      <c r="E104" s="85">
        <f t="shared" ref="E104:F104" si="216">($D26*(E$118-$C$22)+$F26)</f>
        <v>34.236587223163724</v>
      </c>
      <c r="F104" s="85">
        <f t="shared" si="216"/>
        <v>34.437138913415971</v>
      </c>
      <c r="G104" s="85">
        <f t="shared" ref="G104:H104" si="217">($D26*(G$118-$C$22)+$F26)</f>
        <v>34.62017677666222</v>
      </c>
      <c r="H104" s="85">
        <f t="shared" si="217"/>
        <v>34.781964873100399</v>
      </c>
      <c r="I104" s="85">
        <f t="shared" ref="I104:J104" si="218">($D26*(I$118-$C$22)+$F26)</f>
        <v>34.917694717835175</v>
      </c>
      <c r="J104" s="85">
        <f t="shared" si="218"/>
        <v>35.026550091405532</v>
      </c>
      <c r="K104" s="85">
        <f t="shared" ref="K104:L104" si="219">($D26*(K$118-$C$22)+$F26)</f>
        <v>35.111293325994971</v>
      </c>
      <c r="L104" s="85">
        <f t="shared" si="219"/>
        <v>35.176373892882076</v>
      </c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85"/>
      <c r="AN104" s="85"/>
      <c r="AO104" s="85"/>
      <c r="AP104" s="85"/>
      <c r="AQ104" s="85"/>
      <c r="AR104" s="85"/>
      <c r="AS104" s="85"/>
      <c r="AT104" s="85"/>
      <c r="AU104" s="85"/>
      <c r="AV104" s="85"/>
      <c r="AW104" s="85"/>
      <c r="AX104" s="85"/>
      <c r="AY104" s="85"/>
      <c r="AZ104" s="85"/>
      <c r="BA104" s="85"/>
      <c r="BB104" s="85"/>
      <c r="BC104" s="85"/>
      <c r="BD104" s="85"/>
      <c r="BE104" s="85"/>
      <c r="BF104" s="85"/>
      <c r="BG104" s="85"/>
      <c r="BH104" s="85"/>
      <c r="BI104" s="85"/>
      <c r="BJ104" s="85"/>
      <c r="BK104" s="85"/>
      <c r="BL104" s="85"/>
      <c r="BM104" s="85"/>
      <c r="BN104" s="85"/>
      <c r="BO104" s="85"/>
      <c r="BP104" s="85"/>
    </row>
    <row r="105" spans="1:68" x14ac:dyDescent="0.25">
      <c r="A105" s="20"/>
      <c r="B105" s="20" t="s">
        <v>123</v>
      </c>
      <c r="C105" s="20"/>
      <c r="D105" s="85">
        <f t="shared" ref="D105:E113" si="220">($D27*(D$118-$C$22)+$F27)</f>
        <v>42.221144497713951</v>
      </c>
      <c r="E105" s="85">
        <f t="shared" ref="E105:F105" si="221">($D27*(E$118-$C$22)+$F27)</f>
        <v>42.518988138682133</v>
      </c>
      <c r="F105" s="85">
        <f t="shared" si="221"/>
        <v>42.772924091807276</v>
      </c>
      <c r="G105" s="85">
        <f t="shared" ref="G105:H105" si="222">($D27*(G$118-$C$22)+$F27)</f>
        <v>43.004684263975193</v>
      </c>
      <c r="H105" s="85">
        <f t="shared" si="222"/>
        <v>43.209538256587564</v>
      </c>
      <c r="I105" s="85">
        <f t="shared" ref="I105:J105" si="223">($D27*(I$118-$C$22)+$F27)</f>
        <v>43.381397628338064</v>
      </c>
      <c r="J105" s="85">
        <f t="shared" si="223"/>
        <v>43.519228892714921</v>
      </c>
      <c r="K105" s="85">
        <f t="shared" ref="K105:L105" si="224">($D27*(K$118-$C$22)+$F27)</f>
        <v>43.626529678957667</v>
      </c>
      <c r="L105" s="85">
        <f t="shared" si="224"/>
        <v>43.708933849980191</v>
      </c>
      <c r="M105" s="85"/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5"/>
      <c r="AM105" s="85"/>
      <c r="AN105" s="85"/>
      <c r="AO105" s="85"/>
      <c r="AP105" s="85"/>
      <c r="AQ105" s="85"/>
      <c r="AR105" s="85"/>
      <c r="AS105" s="85"/>
      <c r="AT105" s="85"/>
      <c r="AU105" s="85"/>
      <c r="AV105" s="85"/>
      <c r="AW105" s="85"/>
      <c r="AX105" s="85"/>
      <c r="AY105" s="85"/>
      <c r="AZ105" s="85"/>
      <c r="BA105" s="85"/>
      <c r="BB105" s="85"/>
      <c r="BC105" s="85"/>
      <c r="BD105" s="85"/>
      <c r="BE105" s="85"/>
      <c r="BF105" s="85"/>
      <c r="BG105" s="85"/>
      <c r="BH105" s="85"/>
      <c r="BI105" s="85"/>
      <c r="BJ105" s="85"/>
      <c r="BK105" s="85"/>
      <c r="BL105" s="85"/>
      <c r="BM105" s="85"/>
      <c r="BN105" s="85"/>
      <c r="BO105" s="85"/>
      <c r="BP105" s="85"/>
    </row>
    <row r="106" spans="1:68" x14ac:dyDescent="0.25">
      <c r="A106" s="20"/>
      <c r="B106" s="20" t="s">
        <v>124</v>
      </c>
      <c r="C106" s="20"/>
      <c r="D106" s="85">
        <f t="shared" si="220"/>
        <v>44.821144497713945</v>
      </c>
      <c r="E106" s="85">
        <f t="shared" ref="E106:F106" si="225">($D28*(E$118-$C$22)+$F28)</f>
        <v>45.118988138682134</v>
      </c>
      <c r="F106" s="85">
        <f t="shared" si="225"/>
        <v>45.37292409180727</v>
      </c>
      <c r="G106" s="85">
        <f t="shared" ref="G106:H106" si="226">($D28*(G$118-$C$22)+$F28)</f>
        <v>45.604684263975187</v>
      </c>
      <c r="H106" s="85">
        <f t="shared" si="226"/>
        <v>45.809538256587558</v>
      </c>
      <c r="I106" s="85">
        <f t="shared" ref="I106:J106" si="227">($D28*(I$118-$C$22)+$F28)</f>
        <v>45.981397628338065</v>
      </c>
      <c r="J106" s="85">
        <f t="shared" si="227"/>
        <v>46.119228892714915</v>
      </c>
      <c r="K106" s="85">
        <f t="shared" ref="K106:L106" si="228">($D28*(K$118-$C$22)+$F28)</f>
        <v>46.226529678957661</v>
      </c>
      <c r="L106" s="85">
        <f t="shared" si="228"/>
        <v>46.308933849980185</v>
      </c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5"/>
      <c r="AM106" s="85"/>
      <c r="AN106" s="85"/>
      <c r="AO106" s="85"/>
      <c r="AP106" s="85"/>
      <c r="AQ106" s="85"/>
      <c r="AR106" s="85"/>
      <c r="AS106" s="85"/>
      <c r="AT106" s="85"/>
      <c r="AU106" s="85"/>
      <c r="AV106" s="85"/>
      <c r="AW106" s="85"/>
      <c r="AX106" s="85"/>
      <c r="AY106" s="85"/>
      <c r="AZ106" s="85"/>
      <c r="BA106" s="85"/>
      <c r="BB106" s="85"/>
      <c r="BC106" s="85"/>
      <c r="BD106" s="85"/>
      <c r="BE106" s="85"/>
      <c r="BF106" s="85"/>
      <c r="BG106" s="85"/>
      <c r="BH106" s="85"/>
      <c r="BI106" s="85"/>
      <c r="BJ106" s="85"/>
      <c r="BK106" s="85"/>
      <c r="BL106" s="85"/>
      <c r="BM106" s="85"/>
      <c r="BN106" s="85"/>
      <c r="BO106" s="85"/>
      <c r="BP106" s="85"/>
    </row>
    <row r="107" spans="1:68" x14ac:dyDescent="0.25">
      <c r="A107" s="20"/>
      <c r="B107" s="20" t="s">
        <v>125</v>
      </c>
      <c r="C107" s="20"/>
      <c r="D107" s="85">
        <f t="shared" si="220"/>
        <v>53.016823064481805</v>
      </c>
      <c r="E107" s="85">
        <f t="shared" ref="E107:F107" si="229">($D29*(E$118-$C$22)+$F29)</f>
        <v>53.313820558742698</v>
      </c>
      <c r="F107" s="85">
        <f t="shared" si="229"/>
        <v>53.567035102910097</v>
      </c>
      <c r="G107" s="85">
        <f t="shared" ref="G107:H107" si="230">($D29*(G$118-$C$22)+$F29)</f>
        <v>53.798136865497987</v>
      </c>
      <c r="H107" s="85">
        <f t="shared" si="230"/>
        <v>54.002408886540437</v>
      </c>
      <c r="I107" s="85">
        <f t="shared" ref="I107:J107" si="231">($D29*(I$118-$C$22)+$F29)</f>
        <v>54.173780021439377</v>
      </c>
      <c r="J107" s="85">
        <f t="shared" si="231"/>
        <v>54.311219719724249</v>
      </c>
      <c r="K107" s="85">
        <f t="shared" ref="K107:L107" si="232">($D29*(K$118-$C$22)+$F29)</f>
        <v>54.418215674187898</v>
      </c>
      <c r="L107" s="85">
        <f t="shared" si="232"/>
        <v>54.500385742451833</v>
      </c>
      <c r="M107" s="85"/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5"/>
      <c r="AM107" s="85"/>
      <c r="AN107" s="85"/>
      <c r="AO107" s="85"/>
      <c r="AP107" s="85"/>
      <c r="AQ107" s="85"/>
      <c r="AR107" s="85"/>
      <c r="AS107" s="85"/>
      <c r="AT107" s="85"/>
      <c r="AU107" s="85"/>
      <c r="AV107" s="85"/>
      <c r="AW107" s="85"/>
      <c r="AX107" s="85"/>
      <c r="AY107" s="85"/>
      <c r="AZ107" s="85"/>
      <c r="BA107" s="85"/>
      <c r="BB107" s="85"/>
      <c r="BC107" s="85"/>
      <c r="BD107" s="85"/>
      <c r="BE107" s="85"/>
      <c r="BF107" s="85"/>
      <c r="BG107" s="85"/>
      <c r="BH107" s="85"/>
      <c r="BI107" s="85"/>
      <c r="BJ107" s="85"/>
      <c r="BK107" s="85"/>
      <c r="BL107" s="85"/>
      <c r="BM107" s="85"/>
      <c r="BN107" s="85"/>
      <c r="BO107" s="85"/>
      <c r="BP107" s="85"/>
    </row>
    <row r="108" spans="1:68" x14ac:dyDescent="0.25">
      <c r="A108" s="20"/>
      <c r="B108" s="20" t="s">
        <v>126</v>
      </c>
      <c r="C108" s="20"/>
      <c r="D108" s="85">
        <f t="shared" si="220"/>
        <v>56.271180589517435</v>
      </c>
      <c r="E108" s="85">
        <f t="shared" ref="E108:F108" si="233">($D30*(E$118-$C$22)+$F30)</f>
        <v>56.637562113776603</v>
      </c>
      <c r="F108" s="85">
        <f t="shared" si="233"/>
        <v>56.949932192478833</v>
      </c>
      <c r="G108" s="85">
        <f t="shared" ref="G108:H108" si="234">($D30*(G$118-$C$22)+$F30)</f>
        <v>57.235023540628575</v>
      </c>
      <c r="H108" s="85">
        <f t="shared" si="234"/>
        <v>57.487017230404582</v>
      </c>
      <c r="I108" s="85">
        <f t="shared" ref="I108:J108" si="235">($D30*(I$118-$C$22)+$F30)</f>
        <v>57.698423787131766</v>
      </c>
      <c r="J108" s="85">
        <f t="shared" si="235"/>
        <v>57.867971904958978</v>
      </c>
      <c r="K108" s="85">
        <f t="shared" ref="K108:L108" si="236">($D30*(K$118-$C$22)+$F30)</f>
        <v>57.999964065308717</v>
      </c>
      <c r="L108" s="85">
        <f t="shared" si="236"/>
        <v>58.101330559776763</v>
      </c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5"/>
      <c r="AM108" s="85"/>
      <c r="AN108" s="85"/>
      <c r="AO108" s="85"/>
      <c r="AP108" s="85"/>
      <c r="AQ108" s="85"/>
      <c r="AR108" s="85"/>
      <c r="AS108" s="85"/>
      <c r="AT108" s="85"/>
      <c r="AU108" s="85"/>
      <c r="AV108" s="85"/>
      <c r="AW108" s="85"/>
      <c r="AX108" s="85"/>
      <c r="AY108" s="85"/>
      <c r="AZ108" s="85"/>
      <c r="BA108" s="85"/>
      <c r="BB108" s="85"/>
      <c r="BC108" s="85"/>
      <c r="BD108" s="85"/>
      <c r="BE108" s="85"/>
      <c r="BF108" s="85"/>
      <c r="BG108" s="85"/>
      <c r="BH108" s="85"/>
      <c r="BI108" s="85"/>
      <c r="BJ108" s="85"/>
      <c r="BK108" s="85"/>
      <c r="BL108" s="85"/>
      <c r="BM108" s="85"/>
      <c r="BN108" s="85"/>
      <c r="BO108" s="85"/>
      <c r="BP108" s="85"/>
    </row>
    <row r="109" spans="1:68" x14ac:dyDescent="0.25">
      <c r="A109" s="20"/>
      <c r="B109" s="20" t="s">
        <v>155</v>
      </c>
      <c r="C109" s="20"/>
      <c r="D109" s="85">
        <f t="shared" si="220"/>
        <v>0</v>
      </c>
      <c r="E109" s="85">
        <f t="shared" ref="E109:F109" si="237">($D31*(E$118-$C$22)+$F31)</f>
        <v>0</v>
      </c>
      <c r="F109" s="85">
        <f t="shared" si="237"/>
        <v>0</v>
      </c>
      <c r="G109" s="85">
        <f t="shared" ref="G109:H109" si="238">($D31*(G$118-$C$22)+$F31)</f>
        <v>0</v>
      </c>
      <c r="H109" s="85">
        <f t="shared" si="238"/>
        <v>0</v>
      </c>
      <c r="I109" s="85">
        <f t="shared" ref="I109:J109" si="239">($D31*(I$118-$C$22)+$F31)</f>
        <v>0</v>
      </c>
      <c r="J109" s="85">
        <f t="shared" si="239"/>
        <v>0</v>
      </c>
      <c r="K109" s="85">
        <f t="shared" ref="K109:L109" si="240">($D31*(K$118-$C$22)+$F31)</f>
        <v>0</v>
      </c>
      <c r="L109" s="85">
        <f t="shared" si="240"/>
        <v>0</v>
      </c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5"/>
      <c r="AM109" s="85"/>
      <c r="AN109" s="85"/>
      <c r="AO109" s="85"/>
      <c r="AP109" s="85"/>
      <c r="AQ109" s="85"/>
      <c r="AR109" s="85"/>
      <c r="AS109" s="85"/>
      <c r="AT109" s="85"/>
      <c r="AU109" s="85"/>
      <c r="AV109" s="85"/>
      <c r="AW109" s="85"/>
      <c r="AX109" s="85"/>
      <c r="AY109" s="85"/>
      <c r="AZ109" s="85"/>
      <c r="BA109" s="85"/>
      <c r="BB109" s="85"/>
      <c r="BC109" s="85"/>
      <c r="BD109" s="85"/>
      <c r="BE109" s="85"/>
      <c r="BF109" s="85"/>
      <c r="BG109" s="85"/>
      <c r="BH109" s="85"/>
      <c r="BI109" s="85"/>
      <c r="BJ109" s="85"/>
      <c r="BK109" s="85"/>
      <c r="BL109" s="85"/>
      <c r="BM109" s="85"/>
      <c r="BN109" s="85"/>
      <c r="BO109" s="85"/>
      <c r="BP109" s="85"/>
    </row>
    <row r="110" spans="1:68" x14ac:dyDescent="0.25">
      <c r="A110" s="20"/>
      <c r="B110" s="20" t="s">
        <v>156</v>
      </c>
      <c r="C110" s="20"/>
      <c r="D110" s="85">
        <f t="shared" si="220"/>
        <v>0</v>
      </c>
      <c r="E110" s="85">
        <f t="shared" ref="E110:F110" si="241">($D32*(E$118-$C$22)+$F32)</f>
        <v>0</v>
      </c>
      <c r="F110" s="85">
        <f t="shared" si="241"/>
        <v>0</v>
      </c>
      <c r="G110" s="85">
        <f t="shared" ref="G110:H110" si="242">($D32*(G$118-$C$22)+$F32)</f>
        <v>0</v>
      </c>
      <c r="H110" s="85">
        <f t="shared" si="242"/>
        <v>0</v>
      </c>
      <c r="I110" s="85">
        <f t="shared" ref="I110:J110" si="243">($D32*(I$118-$C$22)+$F32)</f>
        <v>0</v>
      </c>
      <c r="J110" s="85">
        <f t="shared" si="243"/>
        <v>0</v>
      </c>
      <c r="K110" s="85">
        <f t="shared" ref="K110:L110" si="244">($D32*(K$118-$C$22)+$F32)</f>
        <v>0</v>
      </c>
      <c r="L110" s="85">
        <f t="shared" si="244"/>
        <v>0</v>
      </c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85"/>
      <c r="AN110" s="85"/>
      <c r="AO110" s="85"/>
      <c r="AP110" s="85"/>
      <c r="AQ110" s="85"/>
      <c r="AR110" s="85"/>
      <c r="AS110" s="85"/>
      <c r="AT110" s="85"/>
      <c r="AU110" s="85"/>
      <c r="AV110" s="85"/>
      <c r="AW110" s="85"/>
      <c r="AX110" s="85"/>
      <c r="AY110" s="85"/>
      <c r="AZ110" s="85"/>
      <c r="BA110" s="85"/>
      <c r="BB110" s="85"/>
      <c r="BC110" s="85"/>
      <c r="BD110" s="85"/>
      <c r="BE110" s="85"/>
      <c r="BF110" s="85"/>
      <c r="BG110" s="85"/>
      <c r="BH110" s="85"/>
      <c r="BI110" s="85"/>
      <c r="BJ110" s="85"/>
      <c r="BK110" s="85"/>
      <c r="BL110" s="85"/>
      <c r="BM110" s="85"/>
      <c r="BN110" s="85"/>
      <c r="BO110" s="85"/>
      <c r="BP110" s="85"/>
    </row>
    <row r="111" spans="1:68" x14ac:dyDescent="0.25">
      <c r="A111" s="20"/>
      <c r="B111" s="20" t="s">
        <v>157</v>
      </c>
      <c r="C111" s="20"/>
      <c r="D111" s="85">
        <f t="shared" si="220"/>
        <v>0</v>
      </c>
      <c r="E111" s="85">
        <f t="shared" ref="E111:F111" si="245">($D33*(E$118-$C$22)+$F33)</f>
        <v>0</v>
      </c>
      <c r="F111" s="85">
        <f t="shared" si="245"/>
        <v>0</v>
      </c>
      <c r="G111" s="85">
        <f t="shared" ref="G111:H111" si="246">($D33*(G$118-$C$22)+$F33)</f>
        <v>0</v>
      </c>
      <c r="H111" s="85">
        <f t="shared" si="246"/>
        <v>0</v>
      </c>
      <c r="I111" s="85">
        <f t="shared" ref="I111:J111" si="247">($D33*(I$118-$C$22)+$F33)</f>
        <v>0</v>
      </c>
      <c r="J111" s="85">
        <f t="shared" si="247"/>
        <v>0</v>
      </c>
      <c r="K111" s="85">
        <f t="shared" ref="K111:L111" si="248">($D33*(K$118-$C$22)+$F33)</f>
        <v>0</v>
      </c>
      <c r="L111" s="85">
        <f t="shared" si="248"/>
        <v>0</v>
      </c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85"/>
      <c r="AN111" s="85"/>
      <c r="AO111" s="85"/>
      <c r="AP111" s="85"/>
      <c r="AQ111" s="85"/>
      <c r="AR111" s="85"/>
      <c r="AS111" s="85"/>
      <c r="AT111" s="85"/>
      <c r="AU111" s="85"/>
      <c r="AV111" s="85"/>
      <c r="AW111" s="85"/>
      <c r="AX111" s="85"/>
      <c r="AY111" s="85"/>
      <c r="AZ111" s="85"/>
      <c r="BA111" s="85"/>
      <c r="BB111" s="85"/>
      <c r="BC111" s="85"/>
      <c r="BD111" s="85"/>
      <c r="BE111" s="85"/>
      <c r="BF111" s="85"/>
      <c r="BG111" s="85"/>
      <c r="BH111" s="85"/>
      <c r="BI111" s="85"/>
      <c r="BJ111" s="85"/>
      <c r="BK111" s="85"/>
      <c r="BL111" s="85"/>
      <c r="BM111" s="85"/>
      <c r="BN111" s="85"/>
      <c r="BO111" s="85"/>
      <c r="BP111" s="85"/>
    </row>
    <row r="112" spans="1:68" x14ac:dyDescent="0.25">
      <c r="A112" s="20"/>
      <c r="B112" s="20" t="s">
        <v>158</v>
      </c>
      <c r="C112" s="20"/>
      <c r="D112" s="85">
        <f t="shared" si="220"/>
        <v>0</v>
      </c>
      <c r="E112" s="85">
        <f t="shared" ref="E112:F112" si="249">($D34*(E$118-$C$22)+$F34)</f>
        <v>0</v>
      </c>
      <c r="F112" s="85">
        <f t="shared" si="249"/>
        <v>0</v>
      </c>
      <c r="G112" s="85">
        <f t="shared" ref="G112:H112" si="250">($D34*(G$118-$C$22)+$F34)</f>
        <v>0</v>
      </c>
      <c r="H112" s="85">
        <f t="shared" si="250"/>
        <v>0</v>
      </c>
      <c r="I112" s="85">
        <f t="shared" ref="I112:J112" si="251">($D34*(I$118-$C$22)+$F34)</f>
        <v>0</v>
      </c>
      <c r="J112" s="85">
        <f t="shared" si="251"/>
        <v>0</v>
      </c>
      <c r="K112" s="85">
        <f t="shared" ref="K112:L112" si="252">($D34*(K$118-$C$22)+$F34)</f>
        <v>0</v>
      </c>
      <c r="L112" s="85">
        <f t="shared" si="252"/>
        <v>0</v>
      </c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5"/>
      <c r="AM112" s="85"/>
      <c r="AN112" s="85"/>
      <c r="AO112" s="85"/>
      <c r="AP112" s="85"/>
      <c r="AQ112" s="85"/>
      <c r="AR112" s="85"/>
      <c r="AS112" s="85"/>
      <c r="AT112" s="85"/>
      <c r="AU112" s="85"/>
      <c r="AV112" s="85"/>
      <c r="AW112" s="85"/>
      <c r="AX112" s="85"/>
      <c r="AY112" s="85"/>
      <c r="AZ112" s="85"/>
      <c r="BA112" s="85"/>
      <c r="BB112" s="85"/>
      <c r="BC112" s="85"/>
      <c r="BD112" s="85"/>
      <c r="BE112" s="85"/>
      <c r="BF112" s="85"/>
      <c r="BG112" s="85"/>
      <c r="BH112" s="85"/>
      <c r="BI112" s="85"/>
      <c r="BJ112" s="85"/>
      <c r="BK112" s="85"/>
      <c r="BL112" s="85"/>
      <c r="BM112" s="85"/>
      <c r="BN112" s="85"/>
      <c r="BO112" s="85"/>
      <c r="BP112" s="85"/>
    </row>
    <row r="113" spans="1:68" x14ac:dyDescent="0.25">
      <c r="A113" s="20"/>
      <c r="B113" s="20" t="s">
        <v>159</v>
      </c>
      <c r="C113" s="20"/>
      <c r="D113" s="85">
        <f t="shared" si="220"/>
        <v>0</v>
      </c>
      <c r="E113" s="85">
        <f t="shared" ref="E113:F113" si="253">($D35*(E$118-$C$22)+$F35)</f>
        <v>0</v>
      </c>
      <c r="F113" s="85">
        <f t="shared" si="253"/>
        <v>0</v>
      </c>
      <c r="G113" s="85">
        <f t="shared" ref="G113:H113" si="254">($D35*(G$118-$C$22)+$F35)</f>
        <v>0</v>
      </c>
      <c r="H113" s="85">
        <f t="shared" si="254"/>
        <v>0</v>
      </c>
      <c r="I113" s="85">
        <f t="shared" ref="I113:J113" si="255">($D35*(I$118-$C$22)+$F35)</f>
        <v>0</v>
      </c>
      <c r="J113" s="85">
        <f t="shared" si="255"/>
        <v>0</v>
      </c>
      <c r="K113" s="85">
        <f t="shared" ref="K113:L113" si="256">($D35*(K$118-$C$22)+$F35)</f>
        <v>0</v>
      </c>
      <c r="L113" s="85">
        <f t="shared" si="256"/>
        <v>0</v>
      </c>
      <c r="M113" s="85"/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5"/>
      <c r="AM113" s="85"/>
      <c r="AN113" s="85"/>
      <c r="AO113" s="85"/>
      <c r="AP113" s="85"/>
      <c r="AQ113" s="85"/>
      <c r="AR113" s="85"/>
      <c r="AS113" s="85"/>
      <c r="AT113" s="85"/>
      <c r="AU113" s="85"/>
      <c r="AV113" s="85"/>
      <c r="AW113" s="85"/>
      <c r="AX113" s="85"/>
      <c r="AY113" s="85"/>
      <c r="AZ113" s="85"/>
      <c r="BA113" s="85"/>
      <c r="BB113" s="85"/>
      <c r="BC113" s="85"/>
      <c r="BD113" s="85"/>
      <c r="BE113" s="85"/>
      <c r="BF113" s="85"/>
      <c r="BG113" s="85"/>
      <c r="BH113" s="85"/>
      <c r="BI113" s="85"/>
      <c r="BJ113" s="85"/>
      <c r="BK113" s="85"/>
      <c r="BL113" s="85"/>
      <c r="BM113" s="85"/>
      <c r="BN113" s="85"/>
      <c r="BO113" s="85"/>
      <c r="BP113" s="85"/>
    </row>
    <row r="114" spans="1:68" x14ac:dyDescent="0.25">
      <c r="A114" s="20"/>
      <c r="B114" s="20" t="s">
        <v>176</v>
      </c>
      <c r="C114" s="20"/>
      <c r="D114" s="85">
        <f t="shared" ref="D114:E114" si="257">D104*D130+D105*D131+D106*D132+D107*D133+D108*D134+D109*D135+D110*D136+D111*D137+D112*D138+D113*D139</f>
        <v>43.663899682780873</v>
      </c>
      <c r="E114" s="85">
        <f t="shared" ref="E114:F114" si="258">E104*E130+E105*E131+E106*E132+E107*E133+E108*E134+E109*E135+E110*E136+E111*E137+E112*E138+E113*E139</f>
        <v>44.437678521325765</v>
      </c>
      <c r="F114" s="85">
        <f t="shared" si="258"/>
        <v>45.080564322672146</v>
      </c>
      <c r="G114" s="85">
        <f t="shared" ref="G114:H114" si="259">G104*G130+G105*G131+G106*G132+G107*G133+G108*G134+G109*G135+G110*G136+G111*G137+G112*G138+G113*G139</f>
        <v>45.677985421535062</v>
      </c>
      <c r="H114" s="85">
        <f t="shared" si="259"/>
        <v>46.221115829562464</v>
      </c>
      <c r="I114" s="85">
        <f t="shared" ref="I114:J114" si="260">I104*I130+I105*I131+I106*I132+I107*I133+I108*I134+I109*I135+I110*I136+I111*I137+I112*I138+I113*I139</f>
        <v>46.689334460815886</v>
      </c>
      <c r="J114" s="85">
        <f t="shared" si="260"/>
        <v>47.073701021037522</v>
      </c>
      <c r="K114" s="85">
        <f t="shared" ref="K114:L114" si="261">K104*K130+K105*K131+K106*K132+K107*K133+K108*K134+K109*K135+K110*K136+K111*K137+K112*K138+K113*K139</f>
        <v>47.378634568719619</v>
      </c>
      <c r="L114" s="85">
        <f t="shared" si="261"/>
        <v>47.616326700211104</v>
      </c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5"/>
      <c r="AM114" s="85"/>
      <c r="AN114" s="85"/>
      <c r="AO114" s="85"/>
      <c r="AP114" s="85"/>
      <c r="AQ114" s="85"/>
      <c r="AR114" s="85"/>
      <c r="AS114" s="85"/>
      <c r="AT114" s="85"/>
      <c r="AU114" s="85"/>
      <c r="AV114" s="85"/>
      <c r="AW114" s="85"/>
      <c r="AX114" s="85"/>
      <c r="AY114" s="85"/>
      <c r="AZ114" s="85"/>
      <c r="BA114" s="85"/>
      <c r="BB114" s="85"/>
      <c r="BC114" s="85"/>
      <c r="BD114" s="85"/>
      <c r="BE114" s="85"/>
      <c r="BF114" s="85"/>
      <c r="BG114" s="85"/>
      <c r="BH114" s="85"/>
      <c r="BI114" s="85"/>
      <c r="BJ114" s="85"/>
      <c r="BK114" s="85"/>
      <c r="BL114" s="85"/>
      <c r="BM114" s="85"/>
      <c r="BN114" s="85"/>
      <c r="BO114" s="85"/>
      <c r="BP114" s="85"/>
    </row>
    <row r="115" spans="1:68" x14ac:dyDescent="0.25">
      <c r="A115" s="20"/>
      <c r="B115" s="20" t="s">
        <v>177</v>
      </c>
      <c r="C115" s="20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5"/>
      <c r="AM115" s="85"/>
      <c r="AN115" s="85"/>
      <c r="AO115" s="85"/>
      <c r="AP115" s="85"/>
      <c r="AQ115" s="85"/>
      <c r="AR115" s="85"/>
      <c r="AS115" s="85"/>
      <c r="AT115" s="85"/>
      <c r="AU115" s="85"/>
      <c r="AV115" s="85"/>
      <c r="AW115" s="85"/>
      <c r="AX115" s="85"/>
      <c r="AY115" s="85"/>
      <c r="AZ115" s="85"/>
      <c r="BA115" s="85"/>
      <c r="BB115" s="85"/>
      <c r="BC115" s="85"/>
      <c r="BD115" s="85"/>
      <c r="BE115" s="85"/>
      <c r="BF115" s="85"/>
      <c r="BG115" s="85"/>
      <c r="BH115" s="85"/>
      <c r="BI115" s="85"/>
      <c r="BJ115" s="85"/>
      <c r="BK115" s="85"/>
      <c r="BL115" s="85"/>
      <c r="BM115" s="85"/>
      <c r="BN115" s="85"/>
      <c r="BO115" s="85"/>
      <c r="BP115" s="85"/>
    </row>
    <row r="116" spans="1:68" x14ac:dyDescent="0.25">
      <c r="A116" s="20"/>
      <c r="B116" s="20" t="s">
        <v>191</v>
      </c>
      <c r="C116" s="20"/>
      <c r="D116" s="96">
        <f t="shared" ref="D116:E116" si="262">D103*D62+$J$36+$L$22-D114*D119</f>
        <v>0</v>
      </c>
      <c r="E116" s="96">
        <f t="shared" ref="E116:F116" si="263">E103*E62+$J$36+$L$22-E114*E119</f>
        <v>0</v>
      </c>
      <c r="F116" s="96">
        <f t="shared" si="263"/>
        <v>0</v>
      </c>
      <c r="G116" s="96">
        <f t="shared" ref="G116:H116" si="264">G103*G62+$J$36+$L$22-G114*G119</f>
        <v>0</v>
      </c>
      <c r="H116" s="96">
        <f t="shared" si="264"/>
        <v>0</v>
      </c>
      <c r="I116" s="96">
        <f t="shared" ref="I116:J116" si="265">I103*I62+$J$36+$L$22-I114*I119</f>
        <v>0</v>
      </c>
      <c r="J116" s="96">
        <f t="shared" si="265"/>
        <v>0</v>
      </c>
      <c r="K116" s="96">
        <f t="shared" ref="K116:L116" si="266">K103*K62+$J$36+$L$22-K114*K119</f>
        <v>0</v>
      </c>
      <c r="L116" s="96">
        <f t="shared" si="266"/>
        <v>0</v>
      </c>
      <c r="M116" s="96"/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96"/>
      <c r="AA116" s="96"/>
      <c r="AB116" s="96"/>
      <c r="AC116" s="96"/>
      <c r="AD116" s="96"/>
      <c r="AE116" s="96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  <c r="BI116" s="96"/>
      <c r="BJ116" s="96"/>
      <c r="BK116" s="96"/>
      <c r="BL116" s="96"/>
      <c r="BM116" s="96"/>
      <c r="BN116" s="96"/>
      <c r="BO116" s="96"/>
      <c r="BP116" s="96"/>
    </row>
    <row r="117" spans="1:68" x14ac:dyDescent="0.25">
      <c r="A117" s="20"/>
      <c r="B117" s="20" t="s">
        <v>127</v>
      </c>
      <c r="C117" s="20"/>
      <c r="D117" s="87">
        <f>VLOOKUP(CONCATENATE("x",Foglio2!$J8),Foglio1!$B73:D82,D39+2,FALSE)/VLOOKUP(CONCATENATE("x",Foglio2!$J9),Foglio1!$B73:D82,D39+2,FALSE)</f>
        <v>10.746059941678501</v>
      </c>
      <c r="E117" s="87">
        <f>VLOOKUP(CONCATENATE("x",Foglio2!$J8),Foglio1!$B73:E82,E39+2,FALSE)/VLOOKUP(CONCATENATE("x",Foglio2!$J9),Foglio1!$B73:E82,E39+2,FALSE)</f>
        <v>6.5961139525970935</v>
      </c>
      <c r="F117" s="87">
        <f>VLOOKUP(CONCATENATE("x",Foglio2!$J8),Foglio1!$B73:F82,F39+2,FALSE)/VLOOKUP(CONCATENATE("x",Foglio2!$J9),Foglio1!$B73:F82,F39+2,FALSE)</f>
        <v>4.4780928612414748</v>
      </c>
      <c r="G117" s="87">
        <f>VLOOKUP(CONCATENATE("x",Foglio2!$J8),Foglio1!$B73:G82,G39+2,FALSE)/VLOOKUP(CONCATENATE("x",Foglio2!$J9),Foglio1!$B73:G82,G39+2,FALSE)</f>
        <v>3.2820307597457661</v>
      </c>
      <c r="H117" s="87">
        <f>VLOOKUP(CONCATENATE("x",Foglio2!$J8),Foglio1!$B73:H82,H39+2,FALSE)/VLOOKUP(CONCATENATE("x",Foglio2!$J9),Foglio1!$B73:H82,H39+2,FALSE)</f>
        <v>2.5777066001112066</v>
      </c>
      <c r="I117" s="87">
        <f>VLOOKUP(CONCATENATE("x",Foglio2!$J8),Foglio1!$B73:I82,I39+2,FALSE)/VLOOKUP(CONCATENATE("x",Foglio2!$J9),Foglio1!$B73:I82,I39+2,FALSE)</f>
        <v>2.1593049161325664</v>
      </c>
      <c r="J117" s="87">
        <f>VLOOKUP(CONCATENATE("x",Foglio2!$J8),Foglio1!$B73:J82,J39+2,FALSE)/VLOOKUP(CONCATENATE("x",Foglio2!$J9),Foglio1!$B73:J82,J39+2,FALSE)</f>
        <v>1.9170450437969331</v>
      </c>
      <c r="K117" s="87">
        <f>VLOOKUP(CONCATENATE("x",Foglio2!$J8),Foglio1!$B73:K82,K39+2,FALSE)/VLOOKUP(CONCATENATE("x",Foglio2!$J9),Foglio1!$B73:K82,K39+2,FALSE)</f>
        <v>1.7882701222325537</v>
      </c>
      <c r="L117" s="87">
        <f>VLOOKUP(CONCATENATE("x",Foglio2!$J8),Foglio1!$B73:L82,L39+2,FALSE)/VLOOKUP(CONCATENATE("x",Foglio2!$J9),Foglio1!$B73:L82,L39+2,FALSE)</f>
        <v>1.7354314603088288</v>
      </c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  <c r="AM117" s="87"/>
      <c r="AN117" s="87"/>
      <c r="AO117" s="87"/>
      <c r="AP117" s="87"/>
      <c r="AQ117" s="87"/>
      <c r="AR117" s="87"/>
      <c r="AS117" s="87"/>
      <c r="AT117" s="87"/>
      <c r="AU117" s="87"/>
      <c r="AV117" s="87"/>
      <c r="AW117" s="87"/>
      <c r="AX117" s="87"/>
      <c r="AY117" s="87"/>
      <c r="AZ117" s="87"/>
      <c r="BA117" s="87"/>
      <c r="BB117" s="87"/>
      <c r="BC117" s="87"/>
      <c r="BD117" s="87"/>
      <c r="BE117" s="87"/>
      <c r="BF117" s="87"/>
      <c r="BG117" s="87"/>
      <c r="BH117" s="87"/>
      <c r="BI117" s="87"/>
      <c r="BJ117" s="87"/>
      <c r="BK117" s="87"/>
      <c r="BL117" s="87"/>
      <c r="BM117" s="87"/>
      <c r="BN117" s="87"/>
      <c r="BO117" s="87"/>
      <c r="BP117" s="87"/>
    </row>
    <row r="118" spans="1:68" x14ac:dyDescent="0.25">
      <c r="A118" s="94" t="s">
        <v>188</v>
      </c>
      <c r="B118" s="20" t="s">
        <v>128</v>
      </c>
      <c r="C118" s="20">
        <f>AK8</f>
        <v>68.927654226786728</v>
      </c>
      <c r="D118" s="84">
        <v>72.96429969642567</v>
      </c>
      <c r="E118" s="84">
        <v>75.502739818313628</v>
      </c>
      <c r="F118" s="84">
        <v>77.666966691539258</v>
      </c>
      <c r="G118" s="84">
        <v>79.642195431606737</v>
      </c>
      <c r="H118" s="84">
        <v>81.388110141371257</v>
      </c>
      <c r="I118" s="84">
        <v>82.852820696063048</v>
      </c>
      <c r="J118" s="84">
        <v>84.027518972002142</v>
      </c>
      <c r="K118" s="84">
        <v>84.942014309298273</v>
      </c>
      <c r="L118" s="84">
        <v>85.644322585058418</v>
      </c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</row>
    <row r="119" spans="1:68" x14ac:dyDescent="0.25">
      <c r="A119" s="20"/>
      <c r="B119" s="20" t="s">
        <v>129</v>
      </c>
      <c r="C119" s="20">
        <f>SUM(C120:C129)</f>
        <v>36498.846117206675</v>
      </c>
      <c r="D119" s="90">
        <f t="shared" ref="D119:E119" si="267">D62+$V$20</f>
        <v>36526.809252144711</v>
      </c>
      <c r="E119" s="90">
        <f t="shared" ref="E119:F119" si="268">E62+$V$20</f>
        <v>36168.046712460069</v>
      </c>
      <c r="F119" s="90">
        <f t="shared" si="268"/>
        <v>35684.270063757256</v>
      </c>
      <c r="G119" s="90">
        <f t="shared" ref="G119:H119" si="269">G62+$V$20</f>
        <v>35207.843709466993</v>
      </c>
      <c r="H119" s="90">
        <f t="shared" si="269"/>
        <v>34794.901741600668</v>
      </c>
      <c r="I119" s="90">
        <f t="shared" ref="I119:J119" si="270">I62+$V$20</f>
        <v>34462.84507899556</v>
      </c>
      <c r="J119" s="90">
        <f t="shared" si="270"/>
        <v>34206.873430555133</v>
      </c>
      <c r="K119" s="90">
        <f t="shared" ref="K119:L119" si="271">K62+$V$20</f>
        <v>34012.673737743607</v>
      </c>
      <c r="L119" s="90">
        <f t="shared" si="271"/>
        <v>33864.793669330655</v>
      </c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</row>
    <row r="120" spans="1:68" x14ac:dyDescent="0.25">
      <c r="A120" s="20"/>
      <c r="B120" s="20" t="s">
        <v>130</v>
      </c>
      <c r="C120" s="113">
        <f>AL10</f>
        <v>5040.2087999999985</v>
      </c>
      <c r="D120" s="86">
        <f t="shared" ref="D120:E129" si="272">D63+$V10</f>
        <v>3141.2709974928539</v>
      </c>
      <c r="E120" s="86">
        <f t="shared" ref="E120:F120" si="273">E63+$V10</f>
        <v>2708.3391993490995</v>
      </c>
      <c r="F120" s="86">
        <f t="shared" si="273"/>
        <v>2601.3691557809534</v>
      </c>
      <c r="G120" s="86">
        <f t="shared" ref="G120:H120" si="274">G63+$V10</f>
        <v>2561.8740893024515</v>
      </c>
      <c r="H120" s="86">
        <f t="shared" si="274"/>
        <v>2538.1384131000796</v>
      </c>
      <c r="I120" s="86">
        <f t="shared" ref="I120:J120" si="275">I63+$V10</f>
        <v>2520.4915984160521</v>
      </c>
      <c r="J120" s="86">
        <f t="shared" si="275"/>
        <v>2506.9309260054929</v>
      </c>
      <c r="K120" s="86">
        <f t="shared" ref="K120:L120" si="276">K63+$V10</f>
        <v>2496.6151067263595</v>
      </c>
      <c r="L120" s="86">
        <f t="shared" si="276"/>
        <v>2488.8433204051457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C120" s="86"/>
      <c r="BD120" s="86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</row>
    <row r="121" spans="1:68" x14ac:dyDescent="0.25">
      <c r="A121" s="20"/>
      <c r="B121" s="20" t="s">
        <v>131</v>
      </c>
      <c r="C121" s="113">
        <f t="shared" ref="C121:C129" si="277">AL11</f>
        <v>11477.101966265058</v>
      </c>
      <c r="D121" s="86">
        <f t="shared" si="272"/>
        <v>10263.32657538752</v>
      </c>
      <c r="E121" s="86">
        <f t="shared" ref="E121:F121" si="278">E64+$V11</f>
        <v>9221.5209120896689</v>
      </c>
      <c r="F121" s="86">
        <f t="shared" si="278"/>
        <v>8529.7896387687015</v>
      </c>
      <c r="G121" s="86">
        <f t="shared" ref="G121:H121" si="279">G64+$V11</f>
        <v>8076.2709380370516</v>
      </c>
      <c r="H121" s="86">
        <f t="shared" si="279"/>
        <v>7765.599025727146</v>
      </c>
      <c r="I121" s="86">
        <f t="shared" ref="I121:J121" si="280">I64+$V11</f>
        <v>7544.7407723291417</v>
      </c>
      <c r="J121" s="86">
        <f t="shared" si="280"/>
        <v>7385.0668600258523</v>
      </c>
      <c r="K121" s="86">
        <f t="shared" ref="K121:L121" si="281">K64+$V11</f>
        <v>7269.1128056594207</v>
      </c>
      <c r="L121" s="86">
        <f t="shared" si="281"/>
        <v>7184.7185872928821</v>
      </c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C121" s="86"/>
      <c r="BD121" s="86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</row>
    <row r="122" spans="1:68" x14ac:dyDescent="0.25">
      <c r="A122" s="20"/>
      <c r="B122" s="20" t="s">
        <v>132</v>
      </c>
      <c r="C122" s="113">
        <f t="shared" si="277"/>
        <v>18904.290812349387</v>
      </c>
      <c r="D122" s="86">
        <f t="shared" si="272"/>
        <v>21066.382553313531</v>
      </c>
      <c r="E122" s="86">
        <f t="shared" ref="E122:F122" si="282">E65+$V12</f>
        <v>21061.391410469889</v>
      </c>
      <c r="F122" s="86">
        <f t="shared" si="282"/>
        <v>20181.16200309652</v>
      </c>
      <c r="G122" s="86">
        <f t="shared" ref="G122:H122" si="283">G65+$V12</f>
        <v>19023.886631877744</v>
      </c>
      <c r="H122" s="86">
        <f t="shared" si="283"/>
        <v>17887.295136121276</v>
      </c>
      <c r="I122" s="86">
        <f t="shared" ref="I122:J122" si="284">I65+$V12</f>
        <v>16912.100806172632</v>
      </c>
      <c r="J122" s="86">
        <f t="shared" si="284"/>
        <v>16141.023118783309</v>
      </c>
      <c r="K122" s="86">
        <f t="shared" ref="K122:L122" si="285">K65+$V12</f>
        <v>15561.604408015544</v>
      </c>
      <c r="L122" s="86">
        <f t="shared" si="285"/>
        <v>15138.5020486088</v>
      </c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C122" s="86"/>
      <c r="BD122" s="86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</row>
    <row r="123" spans="1:68" x14ac:dyDescent="0.25">
      <c r="A123" s="20"/>
      <c r="B123" s="20" t="s">
        <v>133</v>
      </c>
      <c r="C123" s="113">
        <f t="shared" si="277"/>
        <v>859.26551723300986</v>
      </c>
      <c r="D123" s="86">
        <f t="shared" si="272"/>
        <v>1578.5755011588797</v>
      </c>
      <c r="E123" s="86">
        <f t="shared" ref="E123:F123" si="286">E66+$V13</f>
        <v>2341.6174806594117</v>
      </c>
      <c r="F123" s="86">
        <f t="shared" si="286"/>
        <v>3080.1511147557167</v>
      </c>
      <c r="G123" s="86">
        <f t="shared" ref="G123:H123" si="287">G66+$V13</f>
        <v>3717.1778877002771</v>
      </c>
      <c r="H123" s="86">
        <f t="shared" si="287"/>
        <v>4192.3052736181862</v>
      </c>
      <c r="I123" s="86">
        <f t="shared" ref="I123:J123" si="288">I66+$V13</f>
        <v>4482.3713778635674</v>
      </c>
      <c r="J123" s="86">
        <f t="shared" si="288"/>
        <v>4600.5235407514328</v>
      </c>
      <c r="K123" s="86">
        <f t="shared" ref="K123:L123" si="289">K66+$V13</f>
        <v>4581.5483834971365</v>
      </c>
      <c r="L123" s="86">
        <f t="shared" si="289"/>
        <v>4466.1406093551559</v>
      </c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C123" s="86"/>
      <c r="BD123" s="86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</row>
    <row r="124" spans="1:68" x14ac:dyDescent="0.25">
      <c r="A124" s="20"/>
      <c r="B124" s="20" t="s">
        <v>134</v>
      </c>
      <c r="C124" s="113">
        <f t="shared" si="277"/>
        <v>217.97902135922331</v>
      </c>
      <c r="D124" s="86">
        <f t="shared" si="272"/>
        <v>477.25362479199822</v>
      </c>
      <c r="E124" s="86">
        <f t="shared" ref="E124:F124" si="290">E67+$V14</f>
        <v>835.14822783457907</v>
      </c>
      <c r="F124" s="86">
        <f t="shared" si="290"/>
        <v>1291.7729455757935</v>
      </c>
      <c r="G124" s="86">
        <f t="shared" ref="G124:H124" si="291">G67+$V14</f>
        <v>1828.5616317127549</v>
      </c>
      <c r="H124" s="86">
        <f t="shared" si="291"/>
        <v>2411.4397760110496</v>
      </c>
      <c r="I124" s="86">
        <f t="shared" ref="I124:J124" si="292">I67+$V14</f>
        <v>3002.9782526868134</v>
      </c>
      <c r="J124" s="86">
        <f t="shared" si="292"/>
        <v>3573.1508220789442</v>
      </c>
      <c r="K124" s="86">
        <f t="shared" ref="K124:L124" si="293">K67+$V14</f>
        <v>4103.6203486827144</v>
      </c>
      <c r="L124" s="86">
        <f t="shared" si="293"/>
        <v>4586.4342144651264</v>
      </c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AZ124" s="86"/>
      <c r="BA124" s="86"/>
      <c r="BB124" s="86"/>
      <c r="BC124" s="86"/>
      <c r="BD124" s="86"/>
      <c r="BE124" s="86"/>
      <c r="BF124" s="86"/>
      <c r="BG124" s="86"/>
      <c r="BH124" s="86"/>
      <c r="BI124" s="86"/>
      <c r="BJ124" s="86"/>
      <c r="BK124" s="86"/>
      <c r="BL124" s="86"/>
      <c r="BM124" s="86"/>
      <c r="BN124" s="86"/>
      <c r="BO124" s="86"/>
      <c r="BP124" s="86"/>
    </row>
    <row r="125" spans="1:68" x14ac:dyDescent="0.25">
      <c r="A125" s="20"/>
      <c r="B125" s="20" t="s">
        <v>160</v>
      </c>
      <c r="C125" s="113">
        <f t="shared" si="277"/>
        <v>0</v>
      </c>
      <c r="D125" s="86">
        <f t="shared" si="272"/>
        <v>0</v>
      </c>
      <c r="E125" s="86">
        <f t="shared" ref="E125:F125" si="294">E68+$V15</f>
        <v>0</v>
      </c>
      <c r="F125" s="86">
        <f t="shared" si="294"/>
        <v>0</v>
      </c>
      <c r="G125" s="86">
        <f t="shared" ref="G125:H125" si="295">G68+$V15</f>
        <v>0</v>
      </c>
      <c r="H125" s="86">
        <f t="shared" si="295"/>
        <v>0</v>
      </c>
      <c r="I125" s="86">
        <f t="shared" ref="I125:J125" si="296">I68+$V15</f>
        <v>0</v>
      </c>
      <c r="J125" s="86">
        <f t="shared" si="296"/>
        <v>0</v>
      </c>
      <c r="K125" s="86">
        <f t="shared" ref="K125:L125" si="297">K68+$V15</f>
        <v>0</v>
      </c>
      <c r="L125" s="86">
        <f t="shared" si="297"/>
        <v>0</v>
      </c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AZ125" s="86"/>
      <c r="BA125" s="86"/>
      <c r="BB125" s="86"/>
      <c r="BC125" s="86"/>
      <c r="BD125" s="86"/>
      <c r="BE125" s="86"/>
      <c r="BF125" s="86"/>
      <c r="BG125" s="86"/>
      <c r="BH125" s="86"/>
      <c r="BI125" s="86"/>
      <c r="BJ125" s="86"/>
      <c r="BK125" s="86"/>
      <c r="BL125" s="86"/>
      <c r="BM125" s="86"/>
      <c r="BN125" s="86"/>
      <c r="BO125" s="86"/>
      <c r="BP125" s="86"/>
    </row>
    <row r="126" spans="1:68" x14ac:dyDescent="0.25">
      <c r="A126" s="20"/>
      <c r="B126" s="20" t="s">
        <v>161</v>
      </c>
      <c r="C126" s="113">
        <f t="shared" si="277"/>
        <v>0</v>
      </c>
      <c r="D126" s="86">
        <f t="shared" si="272"/>
        <v>0</v>
      </c>
      <c r="E126" s="86">
        <f t="shared" ref="E126:F126" si="298">E69+$V16</f>
        <v>0</v>
      </c>
      <c r="F126" s="86">
        <f t="shared" si="298"/>
        <v>0</v>
      </c>
      <c r="G126" s="86">
        <f t="shared" ref="G126:H126" si="299">G69+$V16</f>
        <v>0</v>
      </c>
      <c r="H126" s="86">
        <f t="shared" si="299"/>
        <v>0</v>
      </c>
      <c r="I126" s="86">
        <f t="shared" ref="I126:J126" si="300">I69+$V16</f>
        <v>0</v>
      </c>
      <c r="J126" s="86">
        <f t="shared" si="300"/>
        <v>0</v>
      </c>
      <c r="K126" s="86">
        <f t="shared" ref="K126:L126" si="301">K69+$V16</f>
        <v>0</v>
      </c>
      <c r="L126" s="86">
        <f t="shared" si="301"/>
        <v>0</v>
      </c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AZ126" s="86"/>
      <c r="BA126" s="86"/>
      <c r="BB126" s="86"/>
      <c r="BC126" s="86"/>
      <c r="BD126" s="86"/>
      <c r="BE126" s="86"/>
      <c r="BF126" s="86"/>
      <c r="BG126" s="86"/>
      <c r="BH126" s="86"/>
      <c r="BI126" s="86"/>
      <c r="BJ126" s="86"/>
      <c r="BK126" s="86"/>
      <c r="BL126" s="86"/>
      <c r="BM126" s="86"/>
      <c r="BN126" s="86"/>
      <c r="BO126" s="86"/>
      <c r="BP126" s="86"/>
    </row>
    <row r="127" spans="1:68" x14ac:dyDescent="0.25">
      <c r="A127" s="20"/>
      <c r="B127" s="20" t="s">
        <v>162</v>
      </c>
      <c r="C127" s="113">
        <f t="shared" si="277"/>
        <v>0</v>
      </c>
      <c r="D127" s="86">
        <f t="shared" si="272"/>
        <v>0</v>
      </c>
      <c r="E127" s="86">
        <f t="shared" ref="E127:F127" si="302">E70+$V17</f>
        <v>0</v>
      </c>
      <c r="F127" s="86">
        <f t="shared" si="302"/>
        <v>0</v>
      </c>
      <c r="G127" s="86">
        <f t="shared" ref="G127:H127" si="303">G70+$V17</f>
        <v>0</v>
      </c>
      <c r="H127" s="86">
        <f t="shared" si="303"/>
        <v>0</v>
      </c>
      <c r="I127" s="86">
        <f t="shared" ref="I127:J127" si="304">I70+$V17</f>
        <v>0</v>
      </c>
      <c r="J127" s="86">
        <f t="shared" si="304"/>
        <v>0</v>
      </c>
      <c r="K127" s="86">
        <f t="shared" ref="K127:L127" si="305">K70+$V17</f>
        <v>0</v>
      </c>
      <c r="L127" s="86">
        <f t="shared" si="305"/>
        <v>0</v>
      </c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AZ127" s="86"/>
      <c r="BA127" s="86"/>
      <c r="BB127" s="86"/>
      <c r="BC127" s="86"/>
      <c r="BD127" s="86"/>
      <c r="BE127" s="86"/>
      <c r="BF127" s="86"/>
      <c r="BG127" s="86"/>
      <c r="BH127" s="86"/>
      <c r="BI127" s="86"/>
      <c r="BJ127" s="86"/>
      <c r="BK127" s="86"/>
      <c r="BL127" s="86"/>
      <c r="BM127" s="86"/>
      <c r="BN127" s="86"/>
      <c r="BO127" s="86"/>
      <c r="BP127" s="86"/>
    </row>
    <row r="128" spans="1:68" x14ac:dyDescent="0.25">
      <c r="A128" s="20"/>
      <c r="B128" s="20" t="s">
        <v>163</v>
      </c>
      <c r="C128" s="113">
        <f t="shared" si="277"/>
        <v>0</v>
      </c>
      <c r="D128" s="86">
        <f t="shared" si="272"/>
        <v>0</v>
      </c>
      <c r="E128" s="86">
        <f t="shared" ref="E128:F128" si="306">E71+$V18</f>
        <v>0</v>
      </c>
      <c r="F128" s="86">
        <f t="shared" si="306"/>
        <v>0</v>
      </c>
      <c r="G128" s="86">
        <f t="shared" ref="G128:H128" si="307">G71+$V18</f>
        <v>0</v>
      </c>
      <c r="H128" s="86">
        <f t="shared" si="307"/>
        <v>0</v>
      </c>
      <c r="I128" s="86">
        <f t="shared" ref="I128:J128" si="308">I71+$V18</f>
        <v>0</v>
      </c>
      <c r="J128" s="86">
        <f t="shared" si="308"/>
        <v>0</v>
      </c>
      <c r="K128" s="86">
        <f t="shared" ref="K128:L128" si="309">K71+$V18</f>
        <v>0</v>
      </c>
      <c r="L128" s="86">
        <f t="shared" si="309"/>
        <v>0</v>
      </c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AZ128" s="86"/>
      <c r="BA128" s="86"/>
      <c r="BB128" s="86"/>
      <c r="BC128" s="86"/>
      <c r="BD128" s="86"/>
      <c r="BE128" s="86"/>
      <c r="BF128" s="86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</row>
    <row r="129" spans="1:68" x14ac:dyDescent="0.25">
      <c r="A129" s="20"/>
      <c r="B129" s="20" t="s">
        <v>164</v>
      </c>
      <c r="C129" s="113">
        <f t="shared" si="277"/>
        <v>0</v>
      </c>
      <c r="D129" s="86">
        <f t="shared" si="272"/>
        <v>0</v>
      </c>
      <c r="E129" s="86">
        <f t="shared" ref="E129:F129" si="310">E72+$V19</f>
        <v>0</v>
      </c>
      <c r="F129" s="86">
        <f t="shared" si="310"/>
        <v>0</v>
      </c>
      <c r="G129" s="86">
        <f t="shared" ref="G129:H129" si="311">G72+$V19</f>
        <v>0</v>
      </c>
      <c r="H129" s="86">
        <f t="shared" si="311"/>
        <v>0</v>
      </c>
      <c r="I129" s="86">
        <f t="shared" ref="I129:J129" si="312">I72+$V19</f>
        <v>0</v>
      </c>
      <c r="J129" s="86">
        <f t="shared" si="312"/>
        <v>0</v>
      </c>
      <c r="K129" s="86">
        <f t="shared" ref="K129:L129" si="313">K72+$V19</f>
        <v>0</v>
      </c>
      <c r="L129" s="86">
        <f t="shared" si="313"/>
        <v>0</v>
      </c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AZ129" s="86"/>
      <c r="BA129" s="86"/>
      <c r="BB129" s="86"/>
      <c r="BC129" s="86"/>
      <c r="BD129" s="86"/>
      <c r="BE129" s="86"/>
      <c r="BF129" s="86"/>
      <c r="BG129" s="86"/>
      <c r="BH129" s="86"/>
      <c r="BI129" s="86"/>
      <c r="BJ129" s="86"/>
      <c r="BK129" s="86"/>
      <c r="BL129" s="86"/>
      <c r="BM129" s="86"/>
      <c r="BN129" s="86"/>
      <c r="BO129" s="86"/>
      <c r="BP129" s="86"/>
    </row>
    <row r="130" spans="1:68" x14ac:dyDescent="0.25">
      <c r="A130" s="20"/>
      <c r="B130" s="20" t="s">
        <v>135</v>
      </c>
      <c r="C130" s="20"/>
      <c r="D130" s="85">
        <f t="shared" ref="D130:E130" si="314">D120/D$119</f>
        <v>8.5999052800058373E-2</v>
      </c>
      <c r="E130" s="85">
        <f t="shared" ref="E130:F130" si="315">E120/E$119</f>
        <v>7.4882097473515583E-2</v>
      </c>
      <c r="F130" s="85">
        <f t="shared" si="315"/>
        <v>7.2899603974890745E-2</v>
      </c>
      <c r="G130" s="85">
        <f t="shared" ref="G130:H130" si="316">G120/G$119</f>
        <v>7.2764299638537436E-2</v>
      </c>
      <c r="H130" s="85">
        <f t="shared" si="316"/>
        <v>7.2945698537940973E-2</v>
      </c>
      <c r="I130" s="85">
        <f t="shared" ref="I130:J130" si="317">I120/I$119</f>
        <v>7.3136492145050525E-2</v>
      </c>
      <c r="J130" s="85">
        <f t="shared" si="317"/>
        <v>7.3287344752361622E-2</v>
      </c>
      <c r="K130" s="85">
        <f t="shared" ref="K130:L130" si="318">K120/K$119</f>
        <v>7.3402494786991249E-2</v>
      </c>
      <c r="L130" s="85">
        <f t="shared" si="318"/>
        <v>7.349353268492359E-2</v>
      </c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5"/>
      <c r="AM130" s="85"/>
      <c r="AN130" s="85"/>
      <c r="AO130" s="85"/>
      <c r="AP130" s="85"/>
      <c r="AQ130" s="85"/>
      <c r="AR130" s="85"/>
      <c r="AS130" s="85"/>
      <c r="AT130" s="85"/>
      <c r="AU130" s="85"/>
      <c r="AV130" s="85"/>
      <c r="AW130" s="85"/>
      <c r="AX130" s="85"/>
      <c r="AY130" s="85"/>
      <c r="AZ130" s="85"/>
      <c r="BA130" s="85"/>
      <c r="BB130" s="85"/>
      <c r="BC130" s="85"/>
      <c r="BD130" s="85"/>
      <c r="BE130" s="85"/>
      <c r="BF130" s="85"/>
      <c r="BG130" s="85"/>
      <c r="BH130" s="85"/>
      <c r="BI130" s="85"/>
      <c r="BJ130" s="85"/>
      <c r="BK130" s="85"/>
      <c r="BL130" s="85"/>
      <c r="BM130" s="85"/>
      <c r="BN130" s="85"/>
      <c r="BO130" s="85"/>
      <c r="BP130" s="85"/>
    </row>
    <row r="131" spans="1:68" x14ac:dyDescent="0.25">
      <c r="A131" s="20"/>
      <c r="B131" s="20" t="s">
        <v>136</v>
      </c>
      <c r="C131" s="20"/>
      <c r="D131" s="85">
        <f t="shared" ref="D131:E139" si="319">D121/D$119</f>
        <v>0.28098064915935406</v>
      </c>
      <c r="E131" s="85">
        <f t="shared" ref="E131:F131" si="320">E121/E$119</f>
        <v>0.25496319957231228</v>
      </c>
      <c r="F131" s="85">
        <f t="shared" si="320"/>
        <v>0.23903500403759095</v>
      </c>
      <c r="G131" s="85">
        <f t="shared" ref="G131:H131" si="321">G121/G$119</f>
        <v>0.22938840005886055</v>
      </c>
      <c r="H131" s="85">
        <f t="shared" si="321"/>
        <v>0.22318209384228901</v>
      </c>
      <c r="I131" s="85">
        <f t="shared" ref="I131:J131" si="322">I121/I$119</f>
        <v>0.21892390935905393</v>
      </c>
      <c r="J131" s="85">
        <f t="shared" si="322"/>
        <v>0.21589423760165041</v>
      </c>
      <c r="K131" s="85">
        <f t="shared" ref="K131:L131" si="323">K121/K$119</f>
        <v>0.21371777066714226</v>
      </c>
      <c r="L131" s="85">
        <f t="shared" si="323"/>
        <v>0.21215893583901141</v>
      </c>
      <c r="M131" s="85"/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5"/>
      <c r="AM131" s="85"/>
      <c r="AN131" s="85"/>
      <c r="AO131" s="85"/>
      <c r="AP131" s="85"/>
      <c r="AQ131" s="85"/>
      <c r="AR131" s="85"/>
      <c r="AS131" s="85"/>
      <c r="AT131" s="85"/>
      <c r="AU131" s="85"/>
      <c r="AV131" s="85"/>
      <c r="AW131" s="85"/>
      <c r="AX131" s="85"/>
      <c r="AY131" s="85"/>
      <c r="AZ131" s="85"/>
      <c r="BA131" s="85"/>
      <c r="BB131" s="85"/>
      <c r="BC131" s="85"/>
      <c r="BD131" s="85"/>
      <c r="BE131" s="85"/>
      <c r="BF131" s="85"/>
      <c r="BG131" s="85"/>
      <c r="BH131" s="85"/>
      <c r="BI131" s="85"/>
      <c r="BJ131" s="85"/>
      <c r="BK131" s="85"/>
      <c r="BL131" s="85"/>
      <c r="BM131" s="85"/>
      <c r="BN131" s="85"/>
      <c r="BO131" s="85"/>
      <c r="BP131" s="85"/>
    </row>
    <row r="132" spans="1:68" x14ac:dyDescent="0.25">
      <c r="A132" s="20"/>
      <c r="B132" s="20" t="s">
        <v>137</v>
      </c>
      <c r="C132" s="20"/>
      <c r="D132" s="85">
        <f t="shared" si="319"/>
        <v>0.57673755207831623</v>
      </c>
      <c r="E132" s="85">
        <f t="shared" ref="E132:F132" si="324">E122/E$119</f>
        <v>0.58232039949268632</v>
      </c>
      <c r="F132" s="85">
        <f t="shared" si="324"/>
        <v>0.56554784410718617</v>
      </c>
      <c r="G132" s="85">
        <f t="shared" ref="G132:H132" si="325">G122/G$119</f>
        <v>0.54033092139529226</v>
      </c>
      <c r="H132" s="85">
        <f t="shared" si="325"/>
        <v>0.51407804709318339</v>
      </c>
      <c r="I132" s="85">
        <f t="shared" ref="I132:J132" si="326">I122/I$119</f>
        <v>0.49073431887027313</v>
      </c>
      <c r="J132" s="85">
        <f t="shared" si="326"/>
        <v>0.47186490608537796</v>
      </c>
      <c r="K132" s="85">
        <f t="shared" ref="K132:L132" si="327">K122/K$119</f>
        <v>0.45752370213538812</v>
      </c>
      <c r="L132" s="85">
        <f t="shared" si="327"/>
        <v>0.44702773613290453</v>
      </c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85"/>
      <c r="AP132" s="85"/>
      <c r="AQ132" s="85"/>
      <c r="AR132" s="85"/>
      <c r="AS132" s="85"/>
      <c r="AT132" s="85"/>
      <c r="AU132" s="85"/>
      <c r="AV132" s="85"/>
      <c r="AW132" s="85"/>
      <c r="AX132" s="85"/>
      <c r="AY132" s="85"/>
      <c r="AZ132" s="85"/>
      <c r="BA132" s="85"/>
      <c r="BB132" s="85"/>
      <c r="BC132" s="85"/>
      <c r="BD132" s="85"/>
      <c r="BE132" s="85"/>
      <c r="BF132" s="85"/>
      <c r="BG132" s="85"/>
      <c r="BH132" s="85"/>
      <c r="BI132" s="85"/>
      <c r="BJ132" s="85"/>
      <c r="BK132" s="85"/>
      <c r="BL132" s="85"/>
      <c r="BM132" s="85"/>
      <c r="BN132" s="85"/>
      <c r="BO132" s="85"/>
      <c r="BP132" s="85"/>
    </row>
    <row r="133" spans="1:68" x14ac:dyDescent="0.25">
      <c r="A133" s="20"/>
      <c r="B133" s="20" t="s">
        <v>138</v>
      </c>
      <c r="C133" s="20"/>
      <c r="D133" s="85">
        <f t="shared" si="319"/>
        <v>4.3216901051005209E-2</v>
      </c>
      <c r="E133" s="85">
        <f t="shared" ref="E133:F133" si="328">E123/E$119</f>
        <v>6.4742713347931871E-2</v>
      </c>
      <c r="F133" s="85">
        <f t="shared" si="328"/>
        <v>8.6316775129556975E-2</v>
      </c>
      <c r="G133" s="85">
        <f t="shared" ref="G133:H133" si="329">G123/G$119</f>
        <v>0.10557811828449948</v>
      </c>
      <c r="H133" s="85">
        <f t="shared" si="329"/>
        <v>0.12048619377493111</v>
      </c>
      <c r="I133" s="85">
        <f t="shared" ref="I133:J133" si="330">I123/I$119</f>
        <v>0.13006388090098475</v>
      </c>
      <c r="J133" s="85">
        <f t="shared" si="330"/>
        <v>0.13449120247985122</v>
      </c>
      <c r="K133" s="85">
        <f t="shared" ref="K133:L133" si="331">K123/K$119</f>
        <v>0.13470121222528375</v>
      </c>
      <c r="L133" s="85">
        <f t="shared" si="331"/>
        <v>0.1318815243040998</v>
      </c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85"/>
      <c r="AN133" s="85"/>
      <c r="AO133" s="85"/>
      <c r="AP133" s="85"/>
      <c r="AQ133" s="85"/>
      <c r="AR133" s="85"/>
      <c r="AS133" s="85"/>
      <c r="AT133" s="85"/>
      <c r="AU133" s="85"/>
      <c r="AV133" s="85"/>
      <c r="AW133" s="85"/>
      <c r="AX133" s="85"/>
      <c r="AY133" s="85"/>
      <c r="AZ133" s="85"/>
      <c r="BA133" s="85"/>
      <c r="BB133" s="85"/>
      <c r="BC133" s="85"/>
      <c r="BD133" s="85"/>
      <c r="BE133" s="85"/>
      <c r="BF133" s="85"/>
      <c r="BG133" s="85"/>
      <c r="BH133" s="85"/>
      <c r="BI133" s="85"/>
      <c r="BJ133" s="85"/>
      <c r="BK133" s="85"/>
      <c r="BL133" s="85"/>
      <c r="BM133" s="85"/>
      <c r="BN133" s="85"/>
      <c r="BO133" s="85"/>
      <c r="BP133" s="85"/>
    </row>
    <row r="134" spans="1:68" x14ac:dyDescent="0.25">
      <c r="A134" s="20"/>
      <c r="B134" s="20" t="s">
        <v>139</v>
      </c>
      <c r="C134" s="20"/>
      <c r="D134" s="85">
        <f t="shared" si="319"/>
        <v>1.3065844911268174E-2</v>
      </c>
      <c r="E134" s="85">
        <f t="shared" ref="E134:F134" si="332">E124/E$119</f>
        <v>2.3090774972563458E-2</v>
      </c>
      <c r="F134" s="85">
        <f t="shared" si="332"/>
        <v>3.6200066395299012E-2</v>
      </c>
      <c r="G134" s="85">
        <f t="shared" ref="G134:H134" si="333">G124/G$119</f>
        <v>5.1936200546728602E-2</v>
      </c>
      <c r="H134" s="85">
        <f t="shared" si="333"/>
        <v>6.9304399647950155E-2</v>
      </c>
      <c r="I134" s="85">
        <f t="shared" ref="I134:J134" si="334">I124/I$119</f>
        <v>8.7136690131165956E-2</v>
      </c>
      <c r="J134" s="85">
        <f t="shared" si="334"/>
        <v>0.10445710068571316</v>
      </c>
      <c r="K134" s="85">
        <f t="shared" ref="K134:L134" si="335">K124/K$119</f>
        <v>0.12064974310234711</v>
      </c>
      <c r="L134" s="85">
        <f t="shared" si="335"/>
        <v>0.13543369728600441</v>
      </c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5"/>
      <c r="AM134" s="85"/>
      <c r="AN134" s="85"/>
      <c r="AO134" s="85"/>
      <c r="AP134" s="85"/>
      <c r="AQ134" s="85"/>
      <c r="AR134" s="85"/>
      <c r="AS134" s="85"/>
      <c r="AT134" s="85"/>
      <c r="AU134" s="85"/>
      <c r="AV134" s="85"/>
      <c r="AW134" s="85"/>
      <c r="AX134" s="85"/>
      <c r="AY134" s="85"/>
      <c r="AZ134" s="85"/>
      <c r="BA134" s="85"/>
      <c r="BB134" s="85"/>
      <c r="BC134" s="85"/>
      <c r="BD134" s="85"/>
      <c r="BE134" s="85"/>
      <c r="BF134" s="85"/>
      <c r="BG134" s="85"/>
      <c r="BH134" s="85"/>
      <c r="BI134" s="85"/>
      <c r="BJ134" s="85"/>
      <c r="BK134" s="85"/>
      <c r="BL134" s="85"/>
      <c r="BM134" s="85"/>
      <c r="BN134" s="85"/>
      <c r="BO134" s="85"/>
      <c r="BP134" s="85"/>
    </row>
    <row r="135" spans="1:68" x14ac:dyDescent="0.25">
      <c r="A135" s="20"/>
      <c r="B135" s="20" t="s">
        <v>165</v>
      </c>
      <c r="C135" s="20"/>
      <c r="D135" s="85">
        <f t="shared" si="319"/>
        <v>0</v>
      </c>
      <c r="E135" s="85">
        <f t="shared" ref="E135:F135" si="336">E125/E$119</f>
        <v>0</v>
      </c>
      <c r="F135" s="85">
        <f t="shared" si="336"/>
        <v>0</v>
      </c>
      <c r="G135" s="85">
        <f t="shared" ref="G135:H135" si="337">G125/G$119</f>
        <v>0</v>
      </c>
      <c r="H135" s="85">
        <f t="shared" si="337"/>
        <v>0</v>
      </c>
      <c r="I135" s="85">
        <f t="shared" ref="I135:J135" si="338">I125/I$119</f>
        <v>0</v>
      </c>
      <c r="J135" s="85">
        <f t="shared" si="338"/>
        <v>0</v>
      </c>
      <c r="K135" s="85">
        <f t="shared" ref="K135:L135" si="339">K125/K$119</f>
        <v>0</v>
      </c>
      <c r="L135" s="85">
        <f t="shared" si="339"/>
        <v>0</v>
      </c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5"/>
      <c r="AM135" s="85"/>
      <c r="AN135" s="85"/>
      <c r="AO135" s="85"/>
      <c r="AP135" s="85"/>
      <c r="AQ135" s="85"/>
      <c r="AR135" s="85"/>
      <c r="AS135" s="85"/>
      <c r="AT135" s="85"/>
      <c r="AU135" s="85"/>
      <c r="AV135" s="85"/>
      <c r="AW135" s="85"/>
      <c r="AX135" s="85"/>
      <c r="AY135" s="85"/>
      <c r="AZ135" s="85"/>
      <c r="BA135" s="85"/>
      <c r="BB135" s="85"/>
      <c r="BC135" s="85"/>
      <c r="BD135" s="85"/>
      <c r="BE135" s="85"/>
      <c r="BF135" s="85"/>
      <c r="BG135" s="85"/>
      <c r="BH135" s="85"/>
      <c r="BI135" s="85"/>
      <c r="BJ135" s="85"/>
      <c r="BK135" s="85"/>
      <c r="BL135" s="85"/>
      <c r="BM135" s="85"/>
      <c r="BN135" s="85"/>
      <c r="BO135" s="85"/>
      <c r="BP135" s="85"/>
    </row>
    <row r="136" spans="1:68" x14ac:dyDescent="0.25">
      <c r="A136" s="20"/>
      <c r="B136" s="20" t="s">
        <v>166</v>
      </c>
      <c r="C136" s="20"/>
      <c r="D136" s="85">
        <f t="shared" si="319"/>
        <v>0</v>
      </c>
      <c r="E136" s="85">
        <f t="shared" ref="E136:F136" si="340">E126/E$119</f>
        <v>0</v>
      </c>
      <c r="F136" s="85">
        <f t="shared" si="340"/>
        <v>0</v>
      </c>
      <c r="G136" s="85">
        <f t="shared" ref="G136:H136" si="341">G126/G$119</f>
        <v>0</v>
      </c>
      <c r="H136" s="85">
        <f t="shared" si="341"/>
        <v>0</v>
      </c>
      <c r="I136" s="85">
        <f t="shared" ref="I136:J136" si="342">I126/I$119</f>
        <v>0</v>
      </c>
      <c r="J136" s="85">
        <f t="shared" si="342"/>
        <v>0</v>
      </c>
      <c r="K136" s="85">
        <f t="shared" ref="K136:L136" si="343">K126/K$119</f>
        <v>0</v>
      </c>
      <c r="L136" s="85">
        <f t="shared" si="343"/>
        <v>0</v>
      </c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5"/>
      <c r="AM136" s="85"/>
      <c r="AN136" s="85"/>
      <c r="AO136" s="85"/>
      <c r="AP136" s="85"/>
      <c r="AQ136" s="85"/>
      <c r="AR136" s="85"/>
      <c r="AS136" s="85"/>
      <c r="AT136" s="85"/>
      <c r="AU136" s="85"/>
      <c r="AV136" s="85"/>
      <c r="AW136" s="85"/>
      <c r="AX136" s="85"/>
      <c r="AY136" s="85"/>
      <c r="AZ136" s="85"/>
      <c r="BA136" s="85"/>
      <c r="BB136" s="85"/>
      <c r="BC136" s="85"/>
      <c r="BD136" s="85"/>
      <c r="BE136" s="85"/>
      <c r="BF136" s="85"/>
      <c r="BG136" s="85"/>
      <c r="BH136" s="85"/>
      <c r="BI136" s="85"/>
      <c r="BJ136" s="85"/>
      <c r="BK136" s="85"/>
      <c r="BL136" s="85"/>
      <c r="BM136" s="85"/>
      <c r="BN136" s="85"/>
      <c r="BO136" s="85"/>
      <c r="BP136" s="85"/>
    </row>
    <row r="137" spans="1:68" x14ac:dyDescent="0.25">
      <c r="A137" s="20"/>
      <c r="B137" s="20" t="s">
        <v>167</v>
      </c>
      <c r="C137" s="20"/>
      <c r="D137" s="85">
        <f t="shared" si="319"/>
        <v>0</v>
      </c>
      <c r="E137" s="85">
        <f t="shared" ref="E137:F137" si="344">E127/E$119</f>
        <v>0</v>
      </c>
      <c r="F137" s="85">
        <f t="shared" si="344"/>
        <v>0</v>
      </c>
      <c r="G137" s="85">
        <f t="shared" ref="G137:H137" si="345">G127/G$119</f>
        <v>0</v>
      </c>
      <c r="H137" s="85">
        <f t="shared" si="345"/>
        <v>0</v>
      </c>
      <c r="I137" s="85">
        <f t="shared" ref="I137:J137" si="346">I127/I$119</f>
        <v>0</v>
      </c>
      <c r="J137" s="85">
        <f t="shared" si="346"/>
        <v>0</v>
      </c>
      <c r="K137" s="85">
        <f t="shared" ref="K137:L137" si="347">K127/K$119</f>
        <v>0</v>
      </c>
      <c r="L137" s="85">
        <f t="shared" si="347"/>
        <v>0</v>
      </c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5"/>
      <c r="AM137" s="85"/>
      <c r="AN137" s="85"/>
      <c r="AO137" s="85"/>
      <c r="AP137" s="85"/>
      <c r="AQ137" s="85"/>
      <c r="AR137" s="85"/>
      <c r="AS137" s="85"/>
      <c r="AT137" s="85"/>
      <c r="AU137" s="85"/>
      <c r="AV137" s="85"/>
      <c r="AW137" s="85"/>
      <c r="AX137" s="85"/>
      <c r="AY137" s="85"/>
      <c r="AZ137" s="85"/>
      <c r="BA137" s="85"/>
      <c r="BB137" s="85"/>
      <c r="BC137" s="85"/>
      <c r="BD137" s="85"/>
      <c r="BE137" s="85"/>
      <c r="BF137" s="85"/>
      <c r="BG137" s="85"/>
      <c r="BH137" s="85"/>
      <c r="BI137" s="85"/>
      <c r="BJ137" s="85"/>
      <c r="BK137" s="85"/>
      <c r="BL137" s="85"/>
      <c r="BM137" s="85"/>
      <c r="BN137" s="85"/>
      <c r="BO137" s="85"/>
      <c r="BP137" s="85"/>
    </row>
    <row r="138" spans="1:68" x14ac:dyDescent="0.25">
      <c r="A138" s="20"/>
      <c r="B138" s="20" t="s">
        <v>168</v>
      </c>
      <c r="C138" s="20"/>
      <c r="D138" s="85">
        <f t="shared" si="319"/>
        <v>0</v>
      </c>
      <c r="E138" s="85">
        <f t="shared" ref="E138:F138" si="348">E128/E$119</f>
        <v>0</v>
      </c>
      <c r="F138" s="85">
        <f t="shared" si="348"/>
        <v>0</v>
      </c>
      <c r="G138" s="85">
        <f t="shared" ref="G138:H138" si="349">G128/G$119</f>
        <v>0</v>
      </c>
      <c r="H138" s="85">
        <f t="shared" si="349"/>
        <v>0</v>
      </c>
      <c r="I138" s="85">
        <f t="shared" ref="I138:J138" si="350">I128/I$119</f>
        <v>0</v>
      </c>
      <c r="J138" s="85">
        <f t="shared" si="350"/>
        <v>0</v>
      </c>
      <c r="K138" s="85">
        <f t="shared" ref="K138:L138" si="351">K128/K$119</f>
        <v>0</v>
      </c>
      <c r="L138" s="85">
        <f t="shared" si="351"/>
        <v>0</v>
      </c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5"/>
      <c r="AM138" s="85"/>
      <c r="AN138" s="85"/>
      <c r="AO138" s="85"/>
      <c r="AP138" s="85"/>
      <c r="AQ138" s="85"/>
      <c r="AR138" s="85"/>
      <c r="AS138" s="85"/>
      <c r="AT138" s="85"/>
      <c r="AU138" s="85"/>
      <c r="AV138" s="85"/>
      <c r="AW138" s="85"/>
      <c r="AX138" s="85"/>
      <c r="AY138" s="85"/>
      <c r="AZ138" s="85"/>
      <c r="BA138" s="85"/>
      <c r="BB138" s="85"/>
      <c r="BC138" s="85"/>
      <c r="BD138" s="85"/>
      <c r="BE138" s="85"/>
      <c r="BF138" s="85"/>
      <c r="BG138" s="85"/>
      <c r="BH138" s="85"/>
      <c r="BI138" s="85"/>
      <c r="BJ138" s="85"/>
      <c r="BK138" s="85"/>
      <c r="BL138" s="85"/>
      <c r="BM138" s="85"/>
      <c r="BN138" s="85"/>
      <c r="BO138" s="85"/>
      <c r="BP138" s="85"/>
    </row>
    <row r="139" spans="1:68" x14ac:dyDescent="0.25">
      <c r="A139" s="20"/>
      <c r="B139" s="20" t="s">
        <v>169</v>
      </c>
      <c r="C139" s="20"/>
      <c r="D139" s="85">
        <f t="shared" si="319"/>
        <v>0</v>
      </c>
      <c r="E139" s="85">
        <f t="shared" ref="E139:F139" si="352">E129/E$119</f>
        <v>0</v>
      </c>
      <c r="F139" s="85">
        <f t="shared" si="352"/>
        <v>0</v>
      </c>
      <c r="G139" s="85">
        <f t="shared" ref="G139:H139" si="353">G129/G$119</f>
        <v>0</v>
      </c>
      <c r="H139" s="85">
        <f t="shared" si="353"/>
        <v>0</v>
      </c>
      <c r="I139" s="85">
        <f t="shared" ref="I139:J139" si="354">I129/I$119</f>
        <v>0</v>
      </c>
      <c r="J139" s="85">
        <f t="shared" si="354"/>
        <v>0</v>
      </c>
      <c r="K139" s="85">
        <f t="shared" ref="K139:L139" si="355">K129/K$119</f>
        <v>0</v>
      </c>
      <c r="L139" s="85">
        <f t="shared" si="355"/>
        <v>0</v>
      </c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5"/>
      <c r="AM139" s="85"/>
      <c r="AN139" s="85"/>
      <c r="AO139" s="85"/>
      <c r="AP139" s="85"/>
      <c r="AQ139" s="85"/>
      <c r="AR139" s="85"/>
      <c r="AS139" s="85"/>
      <c r="AT139" s="85"/>
      <c r="AU139" s="85"/>
      <c r="AV139" s="85"/>
      <c r="AW139" s="85"/>
      <c r="AX139" s="85"/>
      <c r="AY139" s="85"/>
      <c r="AZ139" s="85"/>
      <c r="BA139" s="85"/>
      <c r="BB139" s="85"/>
      <c r="BC139" s="85"/>
      <c r="BD139" s="85"/>
      <c r="BE139" s="85"/>
      <c r="BF139" s="85"/>
      <c r="BG139" s="85"/>
      <c r="BH139" s="85"/>
      <c r="BI139" s="85"/>
      <c r="BJ139" s="85"/>
      <c r="BK139" s="85"/>
      <c r="BL139" s="85"/>
      <c r="BM139" s="85"/>
      <c r="BN139" s="85"/>
      <c r="BO139" s="85"/>
      <c r="BP139" s="85"/>
    </row>
    <row r="140" spans="1:68" x14ac:dyDescent="0.25">
      <c r="A140" s="159" t="s">
        <v>189</v>
      </c>
      <c r="B140" s="91" t="s">
        <v>178</v>
      </c>
      <c r="C140" s="113">
        <f>AN10</f>
        <v>4.7661546731060711E-2</v>
      </c>
      <c r="D140" s="95">
        <f t="shared" ref="D140:E149" si="356">D130/D83</f>
        <v>2.7556259201272248E-2</v>
      </c>
      <c r="E140" s="95">
        <f t="shared" ref="E140:F140" si="357">E130/E83</f>
        <v>2.2920430900213413E-2</v>
      </c>
      <c r="F140" s="95">
        <f t="shared" si="357"/>
        <v>2.1471572888323888E-2</v>
      </c>
      <c r="G140" s="95">
        <f t="shared" ref="G140:H140" si="358">G130/G83</f>
        <v>2.0701533149283084E-2</v>
      </c>
      <c r="H140" s="95">
        <f t="shared" si="358"/>
        <v>2.0133876416553061E-2</v>
      </c>
      <c r="I140" s="95">
        <f t="shared" ref="I140:J140" si="359">I130/I83</f>
        <v>1.9684823896150932E-2</v>
      </c>
      <c r="J140" s="95">
        <f t="shared" si="359"/>
        <v>1.9334367769567866E-2</v>
      </c>
      <c r="K140" s="95">
        <f t="shared" ref="K140:L140" si="360">K130/K83</f>
        <v>1.9067079774443874E-2</v>
      </c>
      <c r="L140" s="95">
        <f t="shared" si="360"/>
        <v>1.8866045840384874E-2</v>
      </c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95"/>
      <c r="AJ140" s="95"/>
      <c r="AK140" s="95"/>
      <c r="AL140" s="95"/>
      <c r="AM140" s="95"/>
      <c r="AN140" s="95"/>
      <c r="AO140" s="95"/>
      <c r="AP140" s="95"/>
      <c r="AQ140" s="95"/>
      <c r="AR140" s="95"/>
      <c r="AS140" s="95"/>
      <c r="AT140" s="95"/>
      <c r="AU140" s="95"/>
      <c r="AV140" s="95"/>
      <c r="AW140" s="95"/>
      <c r="AX140" s="95"/>
      <c r="AY140" s="95"/>
      <c r="AZ140" s="95"/>
      <c r="BA140" s="95"/>
      <c r="BB140" s="95"/>
      <c r="BC140" s="95"/>
      <c r="BD140" s="95"/>
      <c r="BE140" s="95"/>
      <c r="BF140" s="95"/>
      <c r="BG140" s="95"/>
      <c r="BH140" s="95"/>
      <c r="BI140" s="95"/>
      <c r="BJ140" s="95"/>
      <c r="BK140" s="95"/>
      <c r="BL140" s="95"/>
      <c r="BM140" s="95"/>
      <c r="BN140" s="95"/>
      <c r="BO140" s="95"/>
      <c r="BP140" s="95"/>
    </row>
    <row r="141" spans="1:68" x14ac:dyDescent="0.25">
      <c r="A141" s="160"/>
      <c r="B141" s="92" t="s">
        <v>179</v>
      </c>
      <c r="C141" s="113">
        <f t="shared" ref="C141:C149" si="361">AN11</f>
        <v>0.25634840093267486</v>
      </c>
      <c r="D141" s="95">
        <f t="shared" si="356"/>
        <v>0.21042426152457139</v>
      </c>
      <c r="E141" s="95">
        <f t="shared" ref="E141:F141" si="362">E131/E84</f>
        <v>0.18121817560639397</v>
      </c>
      <c r="F141" s="95">
        <f t="shared" si="362"/>
        <v>0.16260082359801548</v>
      </c>
      <c r="G141" s="95">
        <f t="shared" ref="G141:H141" si="363">G131/G84</f>
        <v>0.14998910951488251</v>
      </c>
      <c r="H141" s="95">
        <f t="shared" si="363"/>
        <v>0.1409756493083904</v>
      </c>
      <c r="I141" s="95">
        <f t="shared" ref="I141:J141" si="364">I131/I84</f>
        <v>0.13437427434052424</v>
      </c>
      <c r="J141" s="95">
        <f t="shared" si="364"/>
        <v>0.12952422918416398</v>
      </c>
      <c r="K141" s="95">
        <f t="shared" ref="K141:L141" si="365">K131/K84</f>
        <v>0.12597461249409753</v>
      </c>
      <c r="L141" s="95">
        <f t="shared" si="365"/>
        <v>0.12337991563579978</v>
      </c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95"/>
      <c r="AJ141" s="95"/>
      <c r="AK141" s="95"/>
      <c r="AL141" s="95"/>
      <c r="AM141" s="95"/>
      <c r="AN141" s="95"/>
      <c r="AO141" s="95"/>
      <c r="AP141" s="95"/>
      <c r="AQ141" s="95"/>
      <c r="AR141" s="95"/>
      <c r="AS141" s="95"/>
      <c r="AT141" s="95"/>
      <c r="AU141" s="95"/>
      <c r="AV141" s="95"/>
      <c r="AW141" s="95"/>
      <c r="AX141" s="95"/>
      <c r="AY141" s="95"/>
      <c r="AZ141" s="95"/>
      <c r="BA141" s="95"/>
      <c r="BB141" s="95"/>
      <c r="BC141" s="95"/>
      <c r="BD141" s="95"/>
      <c r="BE141" s="95"/>
      <c r="BF141" s="95"/>
      <c r="BG141" s="95"/>
      <c r="BH141" s="95"/>
      <c r="BI141" s="95"/>
      <c r="BJ141" s="95"/>
      <c r="BK141" s="95"/>
      <c r="BL141" s="95"/>
      <c r="BM141" s="95"/>
      <c r="BN141" s="95"/>
      <c r="BO141" s="95"/>
      <c r="BP141" s="95"/>
    </row>
    <row r="142" spans="1:68" x14ac:dyDescent="0.25">
      <c r="A142" s="160"/>
      <c r="B142" s="92" t="s">
        <v>180</v>
      </c>
      <c r="C142" s="113">
        <f t="shared" si="361"/>
        <v>0.6200074609762839</v>
      </c>
      <c r="D142" s="95">
        <f t="shared" si="356"/>
        <v>0.6305207784198803</v>
      </c>
      <c r="E142" s="95">
        <f t="shared" ref="E142:F142" si="366">E132/E85</f>
        <v>0.60204417272395083</v>
      </c>
      <c r="F142" s="95">
        <f t="shared" si="366"/>
        <v>0.55790962488460283</v>
      </c>
      <c r="G142" s="95">
        <f t="shared" ref="G142:H142" si="367">G132/G85</f>
        <v>0.51097923810770118</v>
      </c>
      <c r="H142" s="95">
        <f t="shared" si="367"/>
        <v>0.4685332758724326</v>
      </c>
      <c r="I142" s="95">
        <f t="shared" ref="I142:J142" si="368">I132/I85</f>
        <v>0.43375273958115035</v>
      </c>
      <c r="J142" s="95">
        <f t="shared" si="368"/>
        <v>0.40702558433764147</v>
      </c>
      <c r="K142" s="95">
        <f t="shared" ref="K142:L142" si="369">K132/K85</f>
        <v>0.38728013625521623</v>
      </c>
      <c r="L142" s="95">
        <f t="shared" si="369"/>
        <v>0.37298030824416228</v>
      </c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P142" s="95"/>
      <c r="AQ142" s="95"/>
      <c r="AR142" s="95"/>
      <c r="AS142" s="95"/>
      <c r="AT142" s="95"/>
      <c r="AU142" s="95"/>
      <c r="AV142" s="95"/>
      <c r="AW142" s="95"/>
      <c r="AX142" s="95"/>
      <c r="AY142" s="95"/>
      <c r="AZ142" s="95"/>
      <c r="BA142" s="95"/>
      <c r="BB142" s="95"/>
      <c r="BC142" s="95"/>
      <c r="BD142" s="95"/>
      <c r="BE142" s="95"/>
      <c r="BF142" s="95"/>
      <c r="BG142" s="95"/>
      <c r="BH142" s="95"/>
      <c r="BI142" s="95"/>
      <c r="BJ142" s="95"/>
      <c r="BK142" s="95"/>
      <c r="BL142" s="95"/>
      <c r="BM142" s="95"/>
      <c r="BN142" s="95"/>
      <c r="BO142" s="95"/>
      <c r="BP142" s="95"/>
    </row>
    <row r="143" spans="1:68" x14ac:dyDescent="0.25">
      <c r="A143" s="160"/>
      <c r="B143" s="92" t="s">
        <v>181</v>
      </c>
      <c r="C143" s="113">
        <f t="shared" si="361"/>
        <v>5.7696259311898146E-2</v>
      </c>
      <c r="D143" s="95">
        <f t="shared" si="356"/>
        <v>9.558973403902836E-2</v>
      </c>
      <c r="E143" s="95">
        <f t="shared" ref="E143:F143" si="370">E133/E86</f>
        <v>0.13444209206439822</v>
      </c>
      <c r="F143" s="95">
        <f t="shared" si="370"/>
        <v>0.16998915175548807</v>
      </c>
      <c r="G143" s="95">
        <f t="shared" ref="G143:H143" si="371">G133/G86</f>
        <v>0.1982301779751259</v>
      </c>
      <c r="H143" s="95">
        <f t="shared" si="371"/>
        <v>0.21698337848070173</v>
      </c>
      <c r="I143" s="95">
        <f t="shared" ref="I143:J143" si="372">I133/I86</f>
        <v>0.22626111002694649</v>
      </c>
      <c r="J143" s="95">
        <f t="shared" si="372"/>
        <v>0.22760855828060983</v>
      </c>
      <c r="K143" s="95">
        <f t="shared" ref="K143:L143" si="373">K133/K86</f>
        <v>0.22316072118820399</v>
      </c>
      <c r="L143" s="95">
        <f t="shared" si="373"/>
        <v>0.21496297553889063</v>
      </c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95"/>
      <c r="AJ143" s="95"/>
      <c r="AK143" s="95"/>
      <c r="AL143" s="95"/>
      <c r="AM143" s="95"/>
      <c r="AN143" s="95"/>
      <c r="AO143" s="95"/>
      <c r="AP143" s="95"/>
      <c r="AQ143" s="95"/>
      <c r="AR143" s="95"/>
      <c r="AS143" s="95"/>
      <c r="AT143" s="95"/>
      <c r="AU143" s="95"/>
      <c r="AV143" s="95"/>
      <c r="AW143" s="95"/>
      <c r="AX143" s="95"/>
      <c r="AY143" s="95"/>
      <c r="AZ143" s="95"/>
      <c r="BA143" s="95"/>
      <c r="BB143" s="95"/>
      <c r="BC143" s="95"/>
      <c r="BD143" s="95"/>
      <c r="BE143" s="95"/>
      <c r="BF143" s="95"/>
      <c r="BG143" s="95"/>
      <c r="BH143" s="95"/>
      <c r="BI143" s="95"/>
      <c r="BJ143" s="95"/>
      <c r="BK143" s="95"/>
      <c r="BL143" s="95"/>
      <c r="BM143" s="95"/>
      <c r="BN143" s="95"/>
      <c r="BO143" s="95"/>
      <c r="BP143" s="95"/>
    </row>
    <row r="144" spans="1:68" x14ac:dyDescent="0.25">
      <c r="A144" s="160"/>
      <c r="B144" s="92" t="s">
        <v>182</v>
      </c>
      <c r="C144" s="113">
        <f t="shared" si="361"/>
        <v>1.8286332048085736E-2</v>
      </c>
      <c r="D144" s="95">
        <f t="shared" si="356"/>
        <v>3.590754137334623E-2</v>
      </c>
      <c r="E144" s="95">
        <f t="shared" ref="E144:F144" si="374">E134/E87</f>
        <v>5.9373880830705161E-2</v>
      </c>
      <c r="F144" s="95">
        <f t="shared" si="374"/>
        <v>8.8025149314100493E-2</v>
      </c>
      <c r="G144" s="95">
        <f t="shared" ref="G144:H144" si="375">G134/G87</f>
        <v>0.12009351351781772</v>
      </c>
      <c r="H144" s="95">
        <f t="shared" si="375"/>
        <v>0.15336526921080684</v>
      </c>
      <c r="I144" s="95">
        <f t="shared" ref="I144:J144" si="376">I134/I87</f>
        <v>0.18591753570691211</v>
      </c>
      <c r="J144" s="95">
        <f t="shared" si="376"/>
        <v>0.21649793988743607</v>
      </c>
      <c r="K144" s="95">
        <f t="shared" ref="K144:L144" si="377">K134/K87</f>
        <v>0.24450902300571251</v>
      </c>
      <c r="L144" s="95">
        <f t="shared" si="377"/>
        <v>0.26980345243722942</v>
      </c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  <c r="AR144" s="95"/>
      <c r="AS144" s="95"/>
      <c r="AT144" s="95"/>
      <c r="AU144" s="95"/>
      <c r="AV144" s="95"/>
      <c r="AW144" s="95"/>
      <c r="AX144" s="95"/>
      <c r="AY144" s="95"/>
      <c r="AZ144" s="95"/>
      <c r="BA144" s="95"/>
      <c r="BB144" s="95"/>
      <c r="BC144" s="95"/>
      <c r="BD144" s="95"/>
      <c r="BE144" s="95"/>
      <c r="BF144" s="95"/>
      <c r="BG144" s="95"/>
      <c r="BH144" s="95"/>
      <c r="BI144" s="95"/>
      <c r="BJ144" s="95"/>
      <c r="BK144" s="95"/>
      <c r="BL144" s="95"/>
      <c r="BM144" s="95"/>
      <c r="BN144" s="95"/>
      <c r="BO144" s="95"/>
      <c r="BP144" s="95"/>
    </row>
    <row r="145" spans="1:68" x14ac:dyDescent="0.25">
      <c r="A145" s="160"/>
      <c r="B145" s="92" t="s">
        <v>183</v>
      </c>
      <c r="C145" s="113">
        <f t="shared" si="361"/>
        <v>0</v>
      </c>
      <c r="D145" s="95">
        <f t="shared" si="356"/>
        <v>0</v>
      </c>
      <c r="E145" s="95">
        <f t="shared" ref="E145:F145" si="378">E135/E88</f>
        <v>0</v>
      </c>
      <c r="F145" s="95">
        <f t="shared" si="378"/>
        <v>0</v>
      </c>
      <c r="G145" s="95">
        <f t="shared" ref="G145:H145" si="379">G135/G88</f>
        <v>0</v>
      </c>
      <c r="H145" s="95">
        <f t="shared" si="379"/>
        <v>0</v>
      </c>
      <c r="I145" s="95">
        <f t="shared" ref="I145:J145" si="380">I135/I88</f>
        <v>0</v>
      </c>
      <c r="J145" s="95">
        <f t="shared" si="380"/>
        <v>0</v>
      </c>
      <c r="K145" s="95">
        <f t="shared" ref="K145:L145" si="381">K135/K88</f>
        <v>0</v>
      </c>
      <c r="L145" s="95">
        <f t="shared" si="381"/>
        <v>0</v>
      </c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95"/>
      <c r="AJ145" s="95"/>
      <c r="AK145" s="95"/>
      <c r="AL145" s="95"/>
      <c r="AM145" s="95"/>
      <c r="AN145" s="95"/>
      <c r="AO145" s="95"/>
      <c r="AP145" s="95"/>
      <c r="AQ145" s="95"/>
      <c r="AR145" s="95"/>
      <c r="AS145" s="95"/>
      <c r="AT145" s="95"/>
      <c r="AU145" s="95"/>
      <c r="AV145" s="95"/>
      <c r="AW145" s="95"/>
      <c r="AX145" s="95"/>
      <c r="AY145" s="95"/>
      <c r="AZ145" s="95"/>
      <c r="BA145" s="95"/>
      <c r="BB145" s="95"/>
      <c r="BC145" s="95"/>
      <c r="BD145" s="95"/>
      <c r="BE145" s="95"/>
      <c r="BF145" s="95"/>
      <c r="BG145" s="95"/>
      <c r="BH145" s="95"/>
      <c r="BI145" s="95"/>
      <c r="BJ145" s="95"/>
      <c r="BK145" s="95"/>
      <c r="BL145" s="95"/>
      <c r="BM145" s="95"/>
      <c r="BN145" s="95"/>
      <c r="BO145" s="95"/>
      <c r="BP145" s="95"/>
    </row>
    <row r="146" spans="1:68" x14ac:dyDescent="0.25">
      <c r="A146" s="160"/>
      <c r="B146" s="92" t="s">
        <v>184</v>
      </c>
      <c r="C146" s="113">
        <f t="shared" si="361"/>
        <v>0</v>
      </c>
      <c r="D146" s="95">
        <f t="shared" si="356"/>
        <v>0</v>
      </c>
      <c r="E146" s="95">
        <f t="shared" ref="E146:F146" si="382">E136/E89</f>
        <v>0</v>
      </c>
      <c r="F146" s="95">
        <f t="shared" si="382"/>
        <v>0</v>
      </c>
      <c r="G146" s="95">
        <f t="shared" ref="G146:H146" si="383">G136/G89</f>
        <v>0</v>
      </c>
      <c r="H146" s="95">
        <f t="shared" si="383"/>
        <v>0</v>
      </c>
      <c r="I146" s="95">
        <f t="shared" ref="I146:J146" si="384">I136/I89</f>
        <v>0</v>
      </c>
      <c r="J146" s="95">
        <f t="shared" si="384"/>
        <v>0</v>
      </c>
      <c r="K146" s="95">
        <f t="shared" ref="K146:L146" si="385">K136/K89</f>
        <v>0</v>
      </c>
      <c r="L146" s="95">
        <f t="shared" si="385"/>
        <v>0</v>
      </c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95"/>
      <c r="AJ146" s="95"/>
      <c r="AK146" s="95"/>
      <c r="AL146" s="95"/>
      <c r="AM146" s="95"/>
      <c r="AN146" s="95"/>
      <c r="AO146" s="95"/>
      <c r="AP146" s="95"/>
      <c r="AQ146" s="95"/>
      <c r="AR146" s="95"/>
      <c r="AS146" s="95"/>
      <c r="AT146" s="95"/>
      <c r="AU146" s="95"/>
      <c r="AV146" s="95"/>
      <c r="AW146" s="95"/>
      <c r="AX146" s="95"/>
      <c r="AY146" s="95"/>
      <c r="AZ146" s="95"/>
      <c r="BA146" s="95"/>
      <c r="BB146" s="95"/>
      <c r="BC146" s="95"/>
      <c r="BD146" s="95"/>
      <c r="BE146" s="95"/>
      <c r="BF146" s="95"/>
      <c r="BG146" s="95"/>
      <c r="BH146" s="95"/>
      <c r="BI146" s="95"/>
      <c r="BJ146" s="95"/>
      <c r="BK146" s="95"/>
      <c r="BL146" s="95"/>
      <c r="BM146" s="95"/>
      <c r="BN146" s="95"/>
      <c r="BO146" s="95"/>
      <c r="BP146" s="95"/>
    </row>
    <row r="147" spans="1:68" x14ac:dyDescent="0.25">
      <c r="A147" s="160"/>
      <c r="B147" s="92" t="s">
        <v>185</v>
      </c>
      <c r="C147" s="113">
        <f t="shared" si="361"/>
        <v>0</v>
      </c>
      <c r="D147" s="95">
        <f t="shared" si="356"/>
        <v>0</v>
      </c>
      <c r="E147" s="95">
        <f t="shared" ref="E147:F147" si="386">E137/E90</f>
        <v>0</v>
      </c>
      <c r="F147" s="95">
        <f t="shared" si="386"/>
        <v>0</v>
      </c>
      <c r="G147" s="95">
        <f t="shared" ref="G147:H147" si="387">G137/G90</f>
        <v>0</v>
      </c>
      <c r="H147" s="95">
        <f t="shared" si="387"/>
        <v>0</v>
      </c>
      <c r="I147" s="95">
        <f t="shared" ref="I147:J147" si="388">I137/I90</f>
        <v>0</v>
      </c>
      <c r="J147" s="95">
        <f t="shared" si="388"/>
        <v>0</v>
      </c>
      <c r="K147" s="95">
        <f t="shared" ref="K147:L147" si="389">K137/K90</f>
        <v>0</v>
      </c>
      <c r="L147" s="95">
        <f t="shared" si="389"/>
        <v>0</v>
      </c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95"/>
      <c r="AJ147" s="95"/>
      <c r="AK147" s="95"/>
      <c r="AL147" s="95"/>
      <c r="AM147" s="95"/>
      <c r="AN147" s="95"/>
      <c r="AO147" s="95"/>
      <c r="AP147" s="95"/>
      <c r="AQ147" s="95"/>
      <c r="AR147" s="95"/>
      <c r="AS147" s="95"/>
      <c r="AT147" s="95"/>
      <c r="AU147" s="95"/>
      <c r="AV147" s="95"/>
      <c r="AW147" s="95"/>
      <c r="AX147" s="95"/>
      <c r="AY147" s="95"/>
      <c r="AZ147" s="95"/>
      <c r="BA147" s="95"/>
      <c r="BB147" s="95"/>
      <c r="BC147" s="95"/>
      <c r="BD147" s="95"/>
      <c r="BE147" s="95"/>
      <c r="BF147" s="95"/>
      <c r="BG147" s="95"/>
      <c r="BH147" s="95"/>
      <c r="BI147" s="95"/>
      <c r="BJ147" s="95"/>
      <c r="BK147" s="95"/>
      <c r="BL147" s="95"/>
      <c r="BM147" s="95"/>
      <c r="BN147" s="95"/>
      <c r="BO147" s="95"/>
      <c r="BP147" s="95"/>
    </row>
    <row r="148" spans="1:68" x14ac:dyDescent="0.25">
      <c r="A148" s="160"/>
      <c r="B148" s="92" t="s">
        <v>186</v>
      </c>
      <c r="C148" s="113">
        <f t="shared" si="361"/>
        <v>0</v>
      </c>
      <c r="D148" s="95">
        <f t="shared" si="356"/>
        <v>0</v>
      </c>
      <c r="E148" s="95">
        <f t="shared" ref="E148:F148" si="390">E138/E91</f>
        <v>0</v>
      </c>
      <c r="F148" s="95">
        <f t="shared" si="390"/>
        <v>0</v>
      </c>
      <c r="G148" s="95">
        <f t="shared" ref="G148:H148" si="391">G138/G91</f>
        <v>0</v>
      </c>
      <c r="H148" s="95">
        <f t="shared" si="391"/>
        <v>0</v>
      </c>
      <c r="I148" s="95">
        <f t="shared" ref="I148:J148" si="392">I138/I91</f>
        <v>0</v>
      </c>
      <c r="J148" s="95">
        <f t="shared" si="392"/>
        <v>0</v>
      </c>
      <c r="K148" s="95">
        <f t="shared" ref="K148:L148" si="393">K138/K91</f>
        <v>0</v>
      </c>
      <c r="L148" s="95">
        <f t="shared" si="393"/>
        <v>0</v>
      </c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  <c r="AR148" s="95"/>
      <c r="AS148" s="95"/>
      <c r="AT148" s="95"/>
      <c r="AU148" s="95"/>
      <c r="AV148" s="95"/>
      <c r="AW148" s="95"/>
      <c r="AX148" s="95"/>
      <c r="AY148" s="95"/>
      <c r="AZ148" s="95"/>
      <c r="BA148" s="95"/>
      <c r="BB148" s="95"/>
      <c r="BC148" s="95"/>
      <c r="BD148" s="95"/>
      <c r="BE148" s="95"/>
      <c r="BF148" s="95"/>
      <c r="BG148" s="95"/>
      <c r="BH148" s="95"/>
      <c r="BI148" s="95"/>
      <c r="BJ148" s="95"/>
      <c r="BK148" s="95"/>
      <c r="BL148" s="95"/>
      <c r="BM148" s="95"/>
      <c r="BN148" s="95"/>
      <c r="BO148" s="95"/>
      <c r="BP148" s="95"/>
    </row>
    <row r="149" spans="1:68" x14ac:dyDescent="0.25">
      <c r="A149" s="161"/>
      <c r="B149" s="93" t="s">
        <v>187</v>
      </c>
      <c r="C149" s="113">
        <f t="shared" si="361"/>
        <v>0</v>
      </c>
      <c r="D149" s="95">
        <f t="shared" si="356"/>
        <v>0</v>
      </c>
      <c r="E149" s="95">
        <f t="shared" ref="E149:F149" si="394">E139/E92</f>
        <v>0</v>
      </c>
      <c r="F149" s="95">
        <f t="shared" si="394"/>
        <v>0</v>
      </c>
      <c r="G149" s="95">
        <f t="shared" ref="G149:H149" si="395">G139/G92</f>
        <v>0</v>
      </c>
      <c r="H149" s="95">
        <f t="shared" si="395"/>
        <v>0</v>
      </c>
      <c r="I149" s="95">
        <f t="shared" ref="I149:J149" si="396">I139/I92</f>
        <v>0</v>
      </c>
      <c r="J149" s="95">
        <f t="shared" si="396"/>
        <v>0</v>
      </c>
      <c r="K149" s="95">
        <f t="shared" ref="K149:L149" si="397">K139/K92</f>
        <v>0</v>
      </c>
      <c r="L149" s="95">
        <f t="shared" si="397"/>
        <v>0</v>
      </c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95"/>
      <c r="AJ149" s="95"/>
      <c r="AK149" s="95"/>
      <c r="AL149" s="95"/>
      <c r="AM149" s="95"/>
      <c r="AN149" s="95"/>
      <c r="AO149" s="95"/>
      <c r="AP149" s="95"/>
      <c r="AQ149" s="95"/>
      <c r="AR149" s="95"/>
      <c r="AS149" s="95"/>
      <c r="AT149" s="95"/>
      <c r="AU149" s="95"/>
      <c r="AV149" s="95"/>
      <c r="AW149" s="95"/>
      <c r="AX149" s="95"/>
      <c r="AY149" s="95"/>
      <c r="AZ149" s="95"/>
      <c r="BA149" s="95"/>
      <c r="BB149" s="95"/>
      <c r="BC149" s="95"/>
      <c r="BD149" s="95"/>
      <c r="BE149" s="95"/>
      <c r="BF149" s="95"/>
      <c r="BG149" s="95"/>
      <c r="BH149" s="95"/>
      <c r="BI149" s="95"/>
      <c r="BJ149" s="95"/>
      <c r="BK149" s="95"/>
      <c r="BL149" s="95"/>
      <c r="BM149" s="95"/>
      <c r="BN149" s="95"/>
      <c r="BO149" s="95"/>
      <c r="BP149" s="95"/>
    </row>
    <row r="150" spans="1:68" x14ac:dyDescent="0.25">
      <c r="A150" s="20"/>
      <c r="B150" s="20" t="s">
        <v>190</v>
      </c>
      <c r="C150" s="20"/>
      <c r="D150" s="96">
        <f t="shared" ref="D150:E150" si="398">SUM(D140:D149)</f>
        <v>0.9999985745580986</v>
      </c>
      <c r="E150" s="96">
        <f t="shared" ref="E150:F150" si="399">SUM(E140:E149)</f>
        <v>0.99999875212566169</v>
      </c>
      <c r="F150" s="96">
        <f t="shared" si="399"/>
        <v>0.99999632244053061</v>
      </c>
      <c r="G150" s="96">
        <f t="shared" ref="G150:H150" si="400">SUM(G140:G149)</f>
        <v>0.99999357226481034</v>
      </c>
      <c r="H150" s="96">
        <f t="shared" si="400"/>
        <v>0.99999144928888462</v>
      </c>
      <c r="I150" s="96">
        <f t="shared" ref="I150:J150" si="401">SUM(I140:I149)</f>
        <v>0.99999048355168418</v>
      </c>
      <c r="J150" s="96">
        <f t="shared" si="401"/>
        <v>0.99999067945941911</v>
      </c>
      <c r="K150" s="96">
        <f t="shared" ref="K150:L150" si="402">SUM(K140:K149)</f>
        <v>0.99999157271767414</v>
      </c>
      <c r="L150" s="96">
        <f t="shared" si="402"/>
        <v>0.99999269769646704</v>
      </c>
      <c r="M150" s="96"/>
      <c r="N150" s="96"/>
      <c r="O150" s="96"/>
      <c r="P150" s="96"/>
      <c r="Q150" s="96"/>
      <c r="R150" s="96"/>
      <c r="S150" s="96"/>
      <c r="T150" s="96"/>
      <c r="U150" s="96"/>
      <c r="V150" s="96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  <c r="AH150" s="96"/>
      <c r="AI150" s="96"/>
      <c r="AJ150" s="96"/>
      <c r="AK150" s="96"/>
      <c r="AL150" s="96"/>
      <c r="AM150" s="96"/>
      <c r="AN150" s="96"/>
      <c r="AO150" s="96"/>
      <c r="AP150" s="96"/>
      <c r="AQ150" s="96"/>
      <c r="AR150" s="96"/>
      <c r="AS150" s="96"/>
      <c r="AT150" s="96"/>
      <c r="AU150" s="96"/>
      <c r="AV150" s="96"/>
      <c r="AW150" s="96"/>
      <c r="AX150" s="96"/>
      <c r="AY150" s="96"/>
      <c r="AZ150" s="96"/>
      <c r="BA150" s="96"/>
      <c r="BB150" s="96"/>
      <c r="BC150" s="96"/>
      <c r="BD150" s="96"/>
      <c r="BE150" s="96"/>
      <c r="BF150" s="96"/>
      <c r="BG150" s="96"/>
      <c r="BH150" s="96"/>
      <c r="BI150" s="96"/>
      <c r="BJ150" s="96"/>
      <c r="BK150" s="96"/>
      <c r="BL150" s="96"/>
      <c r="BM150" s="96"/>
      <c r="BN150" s="96"/>
      <c r="BO150" s="96"/>
      <c r="BP150" s="96"/>
    </row>
    <row r="151" spans="1:6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</row>
    <row r="152" spans="1:6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0"/>
      <c r="BC152" s="20"/>
      <c r="BD152" s="20"/>
      <c r="BE152" s="20"/>
      <c r="BF152" s="20"/>
    </row>
    <row r="153" spans="1:68" ht="28.5" x14ac:dyDescent="0.45">
      <c r="A153" s="97">
        <f>MAXA(D153:NG153)</f>
        <v>1</v>
      </c>
      <c r="B153" s="98" t="s">
        <v>199</v>
      </c>
      <c r="C153" s="98"/>
      <c r="D153" s="98">
        <f t="shared" ref="D153:G153" si="403">C153+1</f>
        <v>1</v>
      </c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  <c r="AP153" s="98"/>
      <c r="AQ153" s="98"/>
      <c r="AR153" s="98"/>
      <c r="AS153" s="98"/>
      <c r="AT153" s="98"/>
      <c r="AU153" s="98"/>
      <c r="AV153" s="98"/>
      <c r="AW153" s="98"/>
      <c r="AX153" s="98"/>
      <c r="AY153" s="98"/>
      <c r="AZ153" s="98"/>
      <c r="BA153" s="98"/>
      <c r="BB153" s="98"/>
      <c r="BC153" s="98"/>
      <c r="BD153" s="98"/>
      <c r="BE153" s="98"/>
      <c r="BF153" s="98"/>
    </row>
    <row r="154" spans="1:68" x14ac:dyDescent="0.25">
      <c r="A154" s="19"/>
      <c r="B154" s="19" t="s">
        <v>100</v>
      </c>
      <c r="C154" s="19"/>
      <c r="D154" s="84">
        <f t="shared" ref="D154:G154" si="404">C232</f>
        <v>112.33438770314308</v>
      </c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</row>
    <row r="155" spans="1:68" x14ac:dyDescent="0.25">
      <c r="A155" s="168" t="s">
        <v>194</v>
      </c>
      <c r="B155" s="115" t="s">
        <v>101</v>
      </c>
      <c r="C155" s="118">
        <f>AD20*0.5</f>
        <v>7161.8313253012075</v>
      </c>
      <c r="D155" s="87">
        <v>34016.402223202749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  <c r="AL155" s="87"/>
      <c r="AM155" s="87"/>
      <c r="AN155" s="87"/>
      <c r="AO155" s="87"/>
      <c r="AP155" s="87"/>
      <c r="AQ155" s="87"/>
      <c r="AR155" s="87"/>
      <c r="AS155" s="87"/>
      <c r="AT155" s="87"/>
      <c r="AU155" s="87"/>
      <c r="AV155" s="87"/>
      <c r="AW155" s="87"/>
      <c r="AX155" s="87"/>
      <c r="AY155" s="87"/>
      <c r="AZ155" s="87"/>
      <c r="BA155" s="87"/>
      <c r="BB155" s="87"/>
      <c r="BC155" s="87"/>
      <c r="BD155" s="87"/>
      <c r="BE155" s="87"/>
      <c r="BF155" s="87"/>
    </row>
    <row r="156" spans="1:68" x14ac:dyDescent="0.25">
      <c r="A156" s="169"/>
      <c r="B156" s="38" t="s">
        <v>86</v>
      </c>
      <c r="C156" s="116"/>
      <c r="D156" s="85">
        <f t="shared" ref="D156" si="405">D$155*D166</f>
        <v>302.83069285119393</v>
      </c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5"/>
      <c r="AM156" s="85"/>
      <c r="AN156" s="85"/>
      <c r="AO156" s="85"/>
      <c r="AP156" s="85"/>
      <c r="AQ156" s="85"/>
      <c r="AR156" s="85"/>
      <c r="AS156" s="85"/>
      <c r="AT156" s="85"/>
      <c r="AU156" s="85"/>
      <c r="AV156" s="85"/>
      <c r="AW156" s="85"/>
      <c r="AX156" s="85"/>
      <c r="AY156" s="85"/>
      <c r="AZ156" s="85"/>
      <c r="BA156" s="85"/>
      <c r="BB156" s="85"/>
      <c r="BC156" s="85"/>
      <c r="BD156" s="85"/>
      <c r="BE156" s="85"/>
      <c r="BF156" s="85"/>
    </row>
    <row r="157" spans="1:68" x14ac:dyDescent="0.25">
      <c r="A157" s="169"/>
      <c r="B157" s="38" t="s">
        <v>102</v>
      </c>
      <c r="C157" s="116"/>
      <c r="D157" s="85">
        <f t="shared" ref="D157:D165" si="406">D$155*D167</f>
        <v>322.29105966024349</v>
      </c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5"/>
      <c r="AM157" s="85"/>
      <c r="AN157" s="85"/>
      <c r="AO157" s="85"/>
      <c r="AP157" s="85"/>
      <c r="AQ157" s="85"/>
      <c r="AR157" s="85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</row>
    <row r="158" spans="1:68" x14ac:dyDescent="0.25">
      <c r="A158" s="169"/>
      <c r="B158" s="38" t="s">
        <v>103</v>
      </c>
      <c r="C158" s="116"/>
      <c r="D158" s="85">
        <f t="shared" si="406"/>
        <v>835.31760324538402</v>
      </c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5"/>
      <c r="AM158" s="85"/>
      <c r="AN158" s="85"/>
      <c r="AO158" s="85"/>
      <c r="AP158" s="85"/>
      <c r="AQ158" s="85"/>
      <c r="AR158" s="85"/>
      <c r="AS158" s="85"/>
      <c r="AT158" s="85"/>
      <c r="AU158" s="85"/>
      <c r="AV158" s="85"/>
      <c r="AW158" s="85"/>
      <c r="AX158" s="85"/>
      <c r="AY158" s="85"/>
      <c r="AZ158" s="85"/>
      <c r="BA158" s="85"/>
      <c r="BB158" s="85"/>
      <c r="BC158" s="85"/>
      <c r="BD158" s="85"/>
      <c r="BE158" s="85"/>
      <c r="BF158" s="85"/>
    </row>
    <row r="159" spans="1:68" x14ac:dyDescent="0.25">
      <c r="A159" s="169"/>
      <c r="B159" s="38" t="s">
        <v>104</v>
      </c>
      <c r="C159" s="116"/>
      <c r="D159" s="85">
        <f t="shared" si="406"/>
        <v>12667.334489019295</v>
      </c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85"/>
      <c r="AN159" s="85"/>
      <c r="AO159" s="85"/>
      <c r="AP159" s="85"/>
      <c r="AQ159" s="85"/>
      <c r="AR159" s="85"/>
      <c r="AS159" s="85"/>
      <c r="AT159" s="85"/>
      <c r="AU159" s="85"/>
      <c r="AV159" s="85"/>
      <c r="AW159" s="85"/>
      <c r="AX159" s="85"/>
      <c r="AY159" s="85"/>
      <c r="AZ159" s="85"/>
      <c r="BA159" s="85"/>
      <c r="BB159" s="85"/>
      <c r="BC159" s="85"/>
      <c r="BD159" s="85"/>
      <c r="BE159" s="85"/>
      <c r="BF159" s="85"/>
    </row>
    <row r="160" spans="1:68" x14ac:dyDescent="0.25">
      <c r="A160" s="169"/>
      <c r="B160" s="38" t="s">
        <v>105</v>
      </c>
      <c r="C160" s="116"/>
      <c r="D160" s="85">
        <f t="shared" si="406"/>
        <v>19888.628378426762</v>
      </c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5"/>
      <c r="AM160" s="85"/>
      <c r="AN160" s="85"/>
      <c r="AO160" s="85"/>
      <c r="AP160" s="85"/>
      <c r="AQ160" s="85"/>
      <c r="AR160" s="85"/>
      <c r="AS160" s="85"/>
      <c r="AT160" s="85"/>
      <c r="AU160" s="85"/>
      <c r="AV160" s="85"/>
      <c r="AW160" s="85"/>
      <c r="AX160" s="85"/>
      <c r="AY160" s="85"/>
      <c r="AZ160" s="85"/>
      <c r="BA160" s="85"/>
      <c r="BB160" s="85"/>
      <c r="BC160" s="85"/>
      <c r="BD160" s="85"/>
      <c r="BE160" s="85"/>
      <c r="BF160" s="85"/>
    </row>
    <row r="161" spans="1:58" x14ac:dyDescent="0.25">
      <c r="A161" s="169"/>
      <c r="B161" s="38" t="s">
        <v>170</v>
      </c>
      <c r="C161" s="116"/>
      <c r="D161" s="85">
        <f t="shared" si="406"/>
        <v>0</v>
      </c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5"/>
      <c r="AM161" s="85"/>
      <c r="AN161" s="85"/>
      <c r="AO161" s="85"/>
      <c r="AP161" s="85"/>
      <c r="AQ161" s="85"/>
      <c r="AR161" s="85"/>
      <c r="AS161" s="85"/>
      <c r="AT161" s="85"/>
      <c r="AU161" s="85"/>
      <c r="AV161" s="85"/>
      <c r="AW161" s="85"/>
      <c r="AX161" s="85"/>
      <c r="AY161" s="85"/>
      <c r="AZ161" s="85"/>
      <c r="BA161" s="85"/>
      <c r="BB161" s="85"/>
      <c r="BC161" s="85"/>
      <c r="BD161" s="85"/>
      <c r="BE161" s="85"/>
      <c r="BF161" s="85"/>
    </row>
    <row r="162" spans="1:58" x14ac:dyDescent="0.25">
      <c r="A162" s="169"/>
      <c r="B162" s="38" t="s">
        <v>171</v>
      </c>
      <c r="C162" s="116"/>
      <c r="D162" s="85">
        <f t="shared" si="406"/>
        <v>0</v>
      </c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  <c r="AU162" s="85"/>
      <c r="AV162" s="85"/>
      <c r="AW162" s="85"/>
      <c r="AX162" s="85"/>
      <c r="AY162" s="85"/>
      <c r="AZ162" s="85"/>
      <c r="BA162" s="85"/>
      <c r="BB162" s="85"/>
      <c r="BC162" s="85"/>
      <c r="BD162" s="85"/>
      <c r="BE162" s="85"/>
      <c r="BF162" s="85"/>
    </row>
    <row r="163" spans="1:58" x14ac:dyDescent="0.25">
      <c r="A163" s="169"/>
      <c r="B163" s="38" t="s">
        <v>172</v>
      </c>
      <c r="C163" s="116"/>
      <c r="D163" s="85">
        <f t="shared" si="406"/>
        <v>0</v>
      </c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5"/>
      <c r="AZ163" s="85"/>
      <c r="BA163" s="85"/>
      <c r="BB163" s="85"/>
      <c r="BC163" s="85"/>
      <c r="BD163" s="85"/>
      <c r="BE163" s="85"/>
      <c r="BF163" s="85"/>
    </row>
    <row r="164" spans="1:58" x14ac:dyDescent="0.25">
      <c r="A164" s="169"/>
      <c r="B164" s="38" t="s">
        <v>173</v>
      </c>
      <c r="C164" s="116"/>
      <c r="D164" s="85">
        <f t="shared" si="406"/>
        <v>0</v>
      </c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5"/>
      <c r="AM164" s="85"/>
      <c r="AN164" s="85"/>
      <c r="AO164" s="85"/>
      <c r="AP164" s="85"/>
      <c r="AQ164" s="85"/>
      <c r="AR164" s="85"/>
      <c r="AS164" s="85"/>
      <c r="AT164" s="85"/>
      <c r="AU164" s="85"/>
      <c r="AV164" s="85"/>
      <c r="AW164" s="85"/>
      <c r="AX164" s="85"/>
      <c r="AY164" s="85"/>
      <c r="AZ164" s="85"/>
      <c r="BA164" s="85"/>
      <c r="BB164" s="85"/>
      <c r="BC164" s="85"/>
      <c r="BD164" s="85"/>
      <c r="BE164" s="85"/>
      <c r="BF164" s="85"/>
    </row>
    <row r="165" spans="1:58" x14ac:dyDescent="0.25">
      <c r="A165" s="169"/>
      <c r="B165" s="38" t="s">
        <v>174</v>
      </c>
      <c r="C165" s="116"/>
      <c r="D165" s="85">
        <f t="shared" si="406"/>
        <v>0</v>
      </c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5"/>
      <c r="AM165" s="85"/>
      <c r="AN165" s="85"/>
      <c r="AO165" s="85"/>
      <c r="AP165" s="85"/>
      <c r="AQ165" s="85"/>
      <c r="AR165" s="85"/>
      <c r="AS165" s="85"/>
      <c r="AT165" s="85"/>
      <c r="AU165" s="85"/>
      <c r="AV165" s="85"/>
      <c r="AW165" s="85"/>
      <c r="AX165" s="85"/>
      <c r="AY165" s="85"/>
      <c r="AZ165" s="85"/>
      <c r="BA165" s="85"/>
      <c r="BB165" s="85"/>
      <c r="BC165" s="85"/>
      <c r="BD165" s="85"/>
      <c r="BE165" s="85"/>
      <c r="BF165" s="85"/>
    </row>
    <row r="166" spans="1:58" x14ac:dyDescent="0.25">
      <c r="A166" s="117" t="s">
        <v>212</v>
      </c>
      <c r="B166" s="38" t="s">
        <v>66</v>
      </c>
      <c r="C166" s="116"/>
      <c r="D166" s="86">
        <f t="shared" ref="D166:G175" si="407">C254</f>
        <v>8.9024903593311715E-3</v>
      </c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</row>
    <row r="167" spans="1:58" x14ac:dyDescent="0.25">
      <c r="A167" s="162" t="s">
        <v>213</v>
      </c>
      <c r="B167" s="38" t="s">
        <v>67</v>
      </c>
      <c r="C167" s="116"/>
      <c r="D167" s="86">
        <f t="shared" si="407"/>
        <v>9.4745781033952862E-3</v>
      </c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</row>
    <row r="168" spans="1:58" x14ac:dyDescent="0.25">
      <c r="A168" s="162"/>
      <c r="B168" s="38" t="s">
        <v>68</v>
      </c>
      <c r="C168" s="116"/>
      <c r="D168" s="86">
        <f t="shared" si="407"/>
        <v>2.455631838324189E-2</v>
      </c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</row>
    <row r="169" spans="1:58" x14ac:dyDescent="0.25">
      <c r="A169" s="162"/>
      <c r="B169" s="38" t="s">
        <v>69</v>
      </c>
      <c r="C169" s="116"/>
      <c r="D169" s="86">
        <f t="shared" si="407"/>
        <v>0.3723890141556136</v>
      </c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</row>
    <row r="170" spans="1:58" x14ac:dyDescent="0.25">
      <c r="A170" s="162"/>
      <c r="B170" s="38" t="s">
        <v>70</v>
      </c>
      <c r="C170" s="116"/>
      <c r="D170" s="86">
        <f t="shared" si="407"/>
        <v>0.58467759899842187</v>
      </c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</row>
    <row r="171" spans="1:58" x14ac:dyDescent="0.25">
      <c r="A171" s="162"/>
      <c r="B171" s="38" t="s">
        <v>71</v>
      </c>
      <c r="C171" s="116"/>
      <c r="D171" s="86">
        <f t="shared" si="407"/>
        <v>0</v>
      </c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</row>
    <row r="172" spans="1:58" x14ac:dyDescent="0.25">
      <c r="A172" s="162"/>
      <c r="B172" s="38" t="s">
        <v>72</v>
      </c>
      <c r="C172" s="116"/>
      <c r="D172" s="86">
        <f t="shared" si="407"/>
        <v>0</v>
      </c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</row>
    <row r="173" spans="1:58" x14ac:dyDescent="0.25">
      <c r="A173" s="162"/>
      <c r="B173" s="38" t="s">
        <v>74</v>
      </c>
      <c r="C173" s="116"/>
      <c r="D173" s="86">
        <f t="shared" si="407"/>
        <v>0</v>
      </c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</row>
    <row r="174" spans="1:58" x14ac:dyDescent="0.25">
      <c r="A174" s="162"/>
      <c r="B174" s="38" t="s">
        <v>73</v>
      </c>
      <c r="C174" s="116"/>
      <c r="D174" s="86">
        <f t="shared" si="407"/>
        <v>0</v>
      </c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</row>
    <row r="175" spans="1:58" x14ac:dyDescent="0.25">
      <c r="A175" s="163"/>
      <c r="B175" s="38" t="s">
        <v>75</v>
      </c>
      <c r="C175" s="116"/>
      <c r="D175" s="86">
        <f t="shared" si="407"/>
        <v>0</v>
      </c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</row>
    <row r="176" spans="1:58" x14ac:dyDescent="0.25">
      <c r="A176" s="107"/>
      <c r="B176" s="104" t="s">
        <v>106</v>
      </c>
      <c r="C176" s="91"/>
      <c r="D176" s="89">
        <f t="shared" ref="D176" si="408">SUM(D177:D186)</f>
        <v>48340.064873805299</v>
      </c>
      <c r="E176" s="89"/>
      <c r="F176" s="89"/>
      <c r="G176" s="89"/>
      <c r="H176" s="89"/>
      <c r="I176" s="89"/>
      <c r="J176" s="89"/>
      <c r="K176" s="89"/>
      <c r="L176" s="89"/>
      <c r="M176" s="89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9"/>
      <c r="AC176" s="89"/>
      <c r="AD176" s="89"/>
      <c r="AE176" s="89"/>
      <c r="AF176" s="89"/>
      <c r="AG176" s="89"/>
      <c r="AH176" s="89"/>
      <c r="AI176" s="89"/>
      <c r="AJ176" s="89"/>
      <c r="AK176" s="89"/>
      <c r="AL176" s="89"/>
      <c r="AM176" s="89"/>
      <c r="AN176" s="89"/>
      <c r="AO176" s="89"/>
      <c r="AP176" s="89"/>
      <c r="AQ176" s="89"/>
      <c r="AR176" s="89"/>
      <c r="AS176" s="89"/>
      <c r="AT176" s="89"/>
      <c r="AU176" s="89"/>
      <c r="AV176" s="89"/>
      <c r="AW176" s="89"/>
      <c r="AX176" s="89"/>
      <c r="AY176" s="89"/>
      <c r="AZ176" s="89"/>
      <c r="BA176" s="89"/>
      <c r="BB176" s="89"/>
      <c r="BC176" s="89"/>
      <c r="BD176" s="89"/>
      <c r="BE176" s="89"/>
      <c r="BF176" s="89"/>
    </row>
    <row r="177" spans="1:58" x14ac:dyDescent="0.25">
      <c r="A177" s="101"/>
      <c r="B177" s="102" t="s">
        <v>107</v>
      </c>
      <c r="C177" s="92"/>
      <c r="D177" s="89">
        <f t="shared" ref="D177" si="409">D156+$AD10</f>
        <v>324.43069285119446</v>
      </c>
      <c r="E177" s="89"/>
      <c r="F177" s="89"/>
      <c r="G177" s="89"/>
      <c r="H177" s="89"/>
      <c r="I177" s="89"/>
      <c r="J177" s="89"/>
      <c r="K177" s="89"/>
      <c r="L177" s="89"/>
      <c r="M177" s="89"/>
      <c r="N177" s="89"/>
      <c r="O177" s="89"/>
      <c r="P177" s="89"/>
      <c r="Q177" s="89"/>
      <c r="R177" s="89"/>
      <c r="S177" s="89"/>
      <c r="T177" s="89"/>
      <c r="U177" s="89"/>
      <c r="V177" s="89"/>
      <c r="W177" s="89"/>
      <c r="X177" s="89"/>
      <c r="Y177" s="89"/>
      <c r="Z177" s="89"/>
      <c r="AA177" s="89"/>
      <c r="AB177" s="89"/>
      <c r="AC177" s="89"/>
      <c r="AD177" s="89"/>
      <c r="AE177" s="89"/>
      <c r="AF177" s="89"/>
      <c r="AG177" s="89"/>
      <c r="AH177" s="89"/>
      <c r="AI177" s="89"/>
      <c r="AJ177" s="89"/>
      <c r="AK177" s="89"/>
      <c r="AL177" s="89"/>
      <c r="AM177" s="89"/>
      <c r="AN177" s="89"/>
      <c r="AO177" s="89"/>
      <c r="AP177" s="89"/>
      <c r="AQ177" s="89"/>
      <c r="AR177" s="89"/>
      <c r="AS177" s="89"/>
      <c r="AT177" s="89"/>
      <c r="AU177" s="89"/>
      <c r="AV177" s="89"/>
      <c r="AW177" s="89"/>
      <c r="AX177" s="89"/>
      <c r="AY177" s="89"/>
      <c r="AZ177" s="89"/>
      <c r="BA177" s="89"/>
      <c r="BB177" s="89"/>
      <c r="BC177" s="89"/>
      <c r="BD177" s="89"/>
      <c r="BE177" s="89"/>
      <c r="BF177" s="89"/>
    </row>
    <row r="178" spans="1:58" x14ac:dyDescent="0.25">
      <c r="A178" s="101"/>
      <c r="B178" s="102" t="s">
        <v>108</v>
      </c>
      <c r="C178" s="92"/>
      <c r="D178" s="89">
        <f t="shared" ref="D178:D186" si="410">D157+$AD11</f>
        <v>371.47660182891872</v>
      </c>
      <c r="E178" s="89"/>
      <c r="F178" s="89"/>
      <c r="G178" s="89"/>
      <c r="H178" s="89"/>
      <c r="I178" s="89"/>
      <c r="J178" s="89"/>
      <c r="K178" s="89"/>
      <c r="L178" s="89"/>
      <c r="M178" s="89"/>
      <c r="N178" s="89"/>
      <c r="O178" s="89"/>
      <c r="P178" s="89"/>
      <c r="Q178" s="89"/>
      <c r="R178" s="89"/>
      <c r="S178" s="89"/>
      <c r="T178" s="89"/>
      <c r="U178" s="89"/>
      <c r="V178" s="89"/>
      <c r="W178" s="89"/>
      <c r="X178" s="89"/>
      <c r="Y178" s="89"/>
      <c r="Z178" s="89"/>
      <c r="AA178" s="89"/>
      <c r="AB178" s="89"/>
      <c r="AC178" s="89"/>
      <c r="AD178" s="89"/>
      <c r="AE178" s="89"/>
      <c r="AF178" s="89"/>
      <c r="AG178" s="89"/>
      <c r="AH178" s="89"/>
      <c r="AI178" s="89"/>
      <c r="AJ178" s="89"/>
      <c r="AK178" s="89"/>
      <c r="AL178" s="89"/>
      <c r="AM178" s="89"/>
      <c r="AN178" s="89"/>
      <c r="AO178" s="89"/>
      <c r="AP178" s="89"/>
      <c r="AQ178" s="89"/>
      <c r="AR178" s="89"/>
      <c r="AS178" s="89"/>
      <c r="AT178" s="89"/>
      <c r="AU178" s="89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9"/>
    </row>
    <row r="179" spans="1:58" x14ac:dyDescent="0.25">
      <c r="A179" s="101"/>
      <c r="B179" s="102" t="s">
        <v>109</v>
      </c>
      <c r="C179" s="92"/>
      <c r="D179" s="89">
        <f t="shared" si="410"/>
        <v>1012.4197116791211</v>
      </c>
      <c r="E179" s="89"/>
      <c r="F179" s="89"/>
      <c r="G179" s="89"/>
      <c r="H179" s="89"/>
      <c r="I179" s="89"/>
      <c r="J179" s="89"/>
      <c r="K179" s="89"/>
      <c r="L179" s="89"/>
      <c r="M179" s="89"/>
      <c r="N179" s="89"/>
      <c r="O179" s="89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89"/>
      <c r="AI179" s="89"/>
      <c r="AJ179" s="89"/>
      <c r="AK179" s="89"/>
      <c r="AL179" s="89"/>
      <c r="AM179" s="89"/>
      <c r="AN179" s="89"/>
      <c r="AO179" s="89"/>
      <c r="AP179" s="89"/>
      <c r="AQ179" s="89"/>
      <c r="AR179" s="89"/>
      <c r="AS179" s="89"/>
      <c r="AT179" s="89"/>
      <c r="AU179" s="89"/>
      <c r="AV179" s="89"/>
      <c r="AW179" s="89"/>
      <c r="AX179" s="89"/>
      <c r="AY179" s="89"/>
      <c r="AZ179" s="89"/>
      <c r="BA179" s="89"/>
      <c r="BB179" s="89"/>
      <c r="BC179" s="89"/>
      <c r="BD179" s="89"/>
      <c r="BE179" s="89"/>
      <c r="BF179" s="89"/>
    </row>
    <row r="180" spans="1:58" x14ac:dyDescent="0.25">
      <c r="A180" s="101"/>
      <c r="B180" s="102" t="s">
        <v>110</v>
      </c>
      <c r="C180" s="92"/>
      <c r="D180" s="89">
        <f t="shared" si="410"/>
        <v>17587.435702611529</v>
      </c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  <c r="BC180" s="89"/>
      <c r="BD180" s="89"/>
      <c r="BE180" s="89"/>
      <c r="BF180" s="89"/>
    </row>
    <row r="181" spans="1:58" x14ac:dyDescent="0.25">
      <c r="A181" s="101"/>
      <c r="B181" s="102" t="s">
        <v>111</v>
      </c>
      <c r="C181" s="92"/>
      <c r="D181" s="89">
        <f t="shared" si="410"/>
        <v>29044.302164834531</v>
      </c>
      <c r="E181" s="89"/>
      <c r="F181" s="89"/>
      <c r="G181" s="89"/>
      <c r="H181" s="89"/>
      <c r="I181" s="89"/>
      <c r="J181" s="89"/>
      <c r="K181" s="89"/>
      <c r="L181" s="89"/>
      <c r="M181" s="89"/>
      <c r="N181" s="89"/>
      <c r="O181" s="89"/>
      <c r="P181" s="89"/>
      <c r="Q181" s="89"/>
      <c r="R181" s="89"/>
      <c r="S181" s="89"/>
      <c r="T181" s="89"/>
      <c r="U181" s="89"/>
      <c r="V181" s="89"/>
      <c r="W181" s="89"/>
      <c r="X181" s="89"/>
      <c r="Y181" s="89"/>
      <c r="Z181" s="89"/>
      <c r="AA181" s="89"/>
      <c r="AB181" s="89"/>
      <c r="AC181" s="89"/>
      <c r="AD181" s="89"/>
      <c r="AE181" s="89"/>
      <c r="AF181" s="89"/>
      <c r="AG181" s="89"/>
      <c r="AH181" s="89"/>
      <c r="AI181" s="89"/>
      <c r="AJ181" s="89"/>
      <c r="AK181" s="89"/>
      <c r="AL181" s="89"/>
      <c r="AM181" s="89"/>
      <c r="AN181" s="89"/>
      <c r="AO181" s="89"/>
      <c r="AP181" s="89"/>
      <c r="AQ181" s="89"/>
      <c r="AR181" s="89"/>
      <c r="AS181" s="89"/>
      <c r="AT181" s="89"/>
      <c r="AU181" s="89"/>
      <c r="AV181" s="89"/>
      <c r="AW181" s="89"/>
      <c r="AX181" s="89"/>
      <c r="AY181" s="89"/>
      <c r="AZ181" s="89"/>
      <c r="BA181" s="89"/>
      <c r="BB181" s="89"/>
      <c r="BC181" s="89"/>
      <c r="BD181" s="89"/>
      <c r="BE181" s="89"/>
      <c r="BF181" s="89"/>
    </row>
    <row r="182" spans="1:58" x14ac:dyDescent="0.25">
      <c r="A182" s="101"/>
      <c r="B182" s="102" t="s">
        <v>140</v>
      </c>
      <c r="C182" s="92"/>
      <c r="D182" s="89">
        <f t="shared" si="410"/>
        <v>0</v>
      </c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</row>
    <row r="183" spans="1:58" x14ac:dyDescent="0.25">
      <c r="A183" s="101"/>
      <c r="B183" s="102" t="s">
        <v>141</v>
      </c>
      <c r="C183" s="92"/>
      <c r="D183" s="89">
        <f t="shared" si="410"/>
        <v>0</v>
      </c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</row>
    <row r="184" spans="1:58" x14ac:dyDescent="0.25">
      <c r="A184" s="101"/>
      <c r="B184" s="102" t="s">
        <v>142</v>
      </c>
      <c r="C184" s="92"/>
      <c r="D184" s="89">
        <f t="shared" si="410"/>
        <v>0</v>
      </c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</row>
    <row r="185" spans="1:58" x14ac:dyDescent="0.25">
      <c r="A185" s="101"/>
      <c r="B185" s="102" t="s">
        <v>143</v>
      </c>
      <c r="C185" s="92"/>
      <c r="D185" s="89">
        <f t="shared" si="410"/>
        <v>0</v>
      </c>
      <c r="E185" s="89"/>
      <c r="F185" s="89"/>
      <c r="G185" s="89"/>
      <c r="H185" s="89"/>
      <c r="I185" s="89"/>
      <c r="J185" s="89"/>
      <c r="K185" s="89"/>
      <c r="L185" s="89"/>
      <c r="M185" s="89"/>
      <c r="N185" s="89"/>
      <c r="O185" s="89"/>
      <c r="P185" s="89"/>
      <c r="Q185" s="89"/>
      <c r="R185" s="89"/>
      <c r="S185" s="89"/>
      <c r="T185" s="89"/>
      <c r="U185" s="89"/>
      <c r="V185" s="89"/>
      <c r="W185" s="89"/>
      <c r="X185" s="89"/>
      <c r="Y185" s="89"/>
      <c r="Z185" s="89"/>
      <c r="AA185" s="89"/>
      <c r="AB185" s="89"/>
      <c r="AC185" s="89"/>
      <c r="AD185" s="89"/>
      <c r="AE185" s="89"/>
      <c r="AF185" s="89"/>
      <c r="AG185" s="89"/>
      <c r="AH185" s="89"/>
      <c r="AI185" s="89"/>
      <c r="AJ185" s="89"/>
      <c r="AK185" s="89"/>
      <c r="AL185" s="89"/>
      <c r="AM185" s="89"/>
      <c r="AN185" s="89"/>
      <c r="AO185" s="89"/>
      <c r="AP185" s="89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</row>
    <row r="186" spans="1:58" x14ac:dyDescent="0.25">
      <c r="A186" s="101"/>
      <c r="B186" s="102" t="s">
        <v>144</v>
      </c>
      <c r="C186" s="92"/>
      <c r="D186" s="89">
        <f t="shared" si="410"/>
        <v>0</v>
      </c>
      <c r="E186" s="89"/>
      <c r="F186" s="89"/>
      <c r="G186" s="89"/>
      <c r="H186" s="89"/>
      <c r="I186" s="89"/>
      <c r="J186" s="89"/>
      <c r="K186" s="89"/>
      <c r="L186" s="89"/>
      <c r="M186" s="89"/>
      <c r="N186" s="89"/>
      <c r="O186" s="89"/>
      <c r="P186" s="89"/>
      <c r="Q186" s="89"/>
      <c r="R186" s="89"/>
      <c r="S186" s="89"/>
      <c r="T186" s="89"/>
      <c r="U186" s="89"/>
      <c r="V186" s="89"/>
      <c r="W186" s="89"/>
      <c r="X186" s="89"/>
      <c r="Y186" s="89"/>
      <c r="Z186" s="89"/>
      <c r="AA186" s="89"/>
      <c r="AB186" s="89"/>
      <c r="AC186" s="89"/>
      <c r="AD186" s="89"/>
      <c r="AE186" s="89"/>
      <c r="AF186" s="89"/>
      <c r="AG186" s="89"/>
      <c r="AH186" s="89"/>
      <c r="AI186" s="89"/>
      <c r="AJ186" s="89"/>
      <c r="AK186" s="89"/>
      <c r="AL186" s="89"/>
      <c r="AM186" s="89"/>
      <c r="AN186" s="89"/>
      <c r="AO186" s="89"/>
      <c r="AP186" s="89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</row>
    <row r="187" spans="1:58" x14ac:dyDescent="0.25">
      <c r="A187" s="162" t="s">
        <v>215</v>
      </c>
      <c r="B187" s="102" t="s">
        <v>56</v>
      </c>
      <c r="C187" s="119">
        <f>AE10</f>
        <v>1.5079941860465477E-3</v>
      </c>
      <c r="D187" s="86">
        <f t="shared" ref="D187" si="411">D177/D$176</f>
        <v>6.7114244405368645E-3</v>
      </c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  <c r="AT187" s="86"/>
      <c r="AU187" s="86"/>
      <c r="AV187" s="86"/>
      <c r="AW187" s="86"/>
      <c r="AX187" s="86"/>
      <c r="AY187" s="86"/>
      <c r="AZ187" s="86"/>
      <c r="BA187" s="86"/>
      <c r="BB187" s="86"/>
      <c r="BC187" s="86"/>
      <c r="BD187" s="86"/>
      <c r="BE187" s="86"/>
      <c r="BF187" s="86"/>
    </row>
    <row r="188" spans="1:58" x14ac:dyDescent="0.25">
      <c r="A188" s="162"/>
      <c r="B188" s="102" t="s">
        <v>57</v>
      </c>
      <c r="C188" s="119">
        <f t="shared" ref="C188:C196" si="412">AE11</f>
        <v>3.4338662790698031E-3</v>
      </c>
      <c r="D188" s="86">
        <f t="shared" ref="D188:D196" si="413">D178/D$176</f>
        <v>7.6846525299186326E-3</v>
      </c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  <c r="AT188" s="86"/>
      <c r="AU188" s="86"/>
      <c r="AV188" s="86"/>
      <c r="AW188" s="86"/>
      <c r="AX188" s="86"/>
      <c r="AY188" s="86"/>
      <c r="AZ188" s="86"/>
      <c r="BA188" s="86"/>
      <c r="BB188" s="86"/>
      <c r="BC188" s="86"/>
      <c r="BD188" s="86"/>
      <c r="BE188" s="86"/>
      <c r="BF188" s="86"/>
    </row>
    <row r="189" spans="1:58" x14ac:dyDescent="0.25">
      <c r="A189" s="162"/>
      <c r="B189" s="102" t="s">
        <v>58</v>
      </c>
      <c r="C189" s="119">
        <f t="shared" si="412"/>
        <v>1.236430323401177E-2</v>
      </c>
      <c r="D189" s="86">
        <f t="shared" si="413"/>
        <v>2.0943697827508191E-2</v>
      </c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  <c r="AT189" s="86"/>
      <c r="AU189" s="86"/>
      <c r="AV189" s="86"/>
      <c r="AW189" s="86"/>
      <c r="AX189" s="86"/>
      <c r="AY189" s="86"/>
      <c r="AZ189" s="86"/>
      <c r="BA189" s="86"/>
      <c r="BB189" s="86"/>
      <c r="BC189" s="86"/>
      <c r="BD189" s="86"/>
      <c r="BE189" s="86"/>
      <c r="BF189" s="86"/>
    </row>
    <row r="190" spans="1:58" x14ac:dyDescent="0.25">
      <c r="A190" s="162"/>
      <c r="B190" s="102" t="s">
        <v>59</v>
      </c>
      <c r="C190" s="119">
        <f t="shared" si="412"/>
        <v>0.34349463078043851</v>
      </c>
      <c r="D190" s="86">
        <f t="shared" si="413"/>
        <v>0.36382730864190205</v>
      </c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  <c r="AX190" s="86"/>
      <c r="AY190" s="86"/>
      <c r="AZ190" s="86"/>
      <c r="BA190" s="86"/>
      <c r="BB190" s="86"/>
      <c r="BC190" s="86"/>
      <c r="BD190" s="86"/>
      <c r="BE190" s="86"/>
      <c r="BF190" s="86"/>
    </row>
    <row r="191" spans="1:58" x14ac:dyDescent="0.25">
      <c r="A191" s="162"/>
      <c r="B191" s="102" t="s">
        <v>60</v>
      </c>
      <c r="C191" s="119">
        <f t="shared" si="412"/>
        <v>0.6391992055204333</v>
      </c>
      <c r="D191" s="86">
        <f t="shared" si="413"/>
        <v>0.60083291656013416</v>
      </c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C191" s="86"/>
      <c r="BD191" s="86"/>
      <c r="BE191" s="86"/>
      <c r="BF191" s="86"/>
    </row>
    <row r="192" spans="1:58" x14ac:dyDescent="0.25">
      <c r="A192" s="162"/>
      <c r="B192" s="102" t="s">
        <v>61</v>
      </c>
      <c r="C192" s="119">
        <f t="shared" si="412"/>
        <v>0</v>
      </c>
      <c r="D192" s="86">
        <f t="shared" si="413"/>
        <v>0</v>
      </c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C192" s="86"/>
      <c r="BD192" s="86"/>
      <c r="BE192" s="86"/>
      <c r="BF192" s="86"/>
    </row>
    <row r="193" spans="1:58" x14ac:dyDescent="0.25">
      <c r="A193" s="162"/>
      <c r="B193" s="102" t="s">
        <v>62</v>
      </c>
      <c r="C193" s="119">
        <f t="shared" si="412"/>
        <v>0</v>
      </c>
      <c r="D193" s="86">
        <f t="shared" si="413"/>
        <v>0</v>
      </c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C193" s="86"/>
      <c r="BD193" s="86"/>
      <c r="BE193" s="86"/>
      <c r="BF193" s="86"/>
    </row>
    <row r="194" spans="1:58" x14ac:dyDescent="0.25">
      <c r="A194" s="162"/>
      <c r="B194" s="102" t="s">
        <v>63</v>
      </c>
      <c r="C194" s="119">
        <f t="shared" si="412"/>
        <v>0</v>
      </c>
      <c r="D194" s="86">
        <f t="shared" si="413"/>
        <v>0</v>
      </c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C194" s="86"/>
      <c r="BD194" s="86"/>
      <c r="BE194" s="86"/>
      <c r="BF194" s="86"/>
    </row>
    <row r="195" spans="1:58" x14ac:dyDescent="0.25">
      <c r="A195" s="162"/>
      <c r="B195" s="102" t="s">
        <v>64</v>
      </c>
      <c r="C195" s="119">
        <f t="shared" si="412"/>
        <v>0</v>
      </c>
      <c r="D195" s="86">
        <f t="shared" si="413"/>
        <v>0</v>
      </c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C195" s="86"/>
      <c r="BD195" s="86"/>
      <c r="BE195" s="86"/>
      <c r="BF195" s="86"/>
    </row>
    <row r="196" spans="1:58" x14ac:dyDescent="0.25">
      <c r="A196" s="163"/>
      <c r="B196" s="103" t="s">
        <v>65</v>
      </c>
      <c r="C196" s="119">
        <f t="shared" si="412"/>
        <v>0</v>
      </c>
      <c r="D196" s="86">
        <f t="shared" si="413"/>
        <v>0</v>
      </c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C196" s="86"/>
      <c r="BD196" s="86"/>
      <c r="BE196" s="86"/>
      <c r="BF196" s="86"/>
    </row>
    <row r="197" spans="1:58" x14ac:dyDescent="0.25">
      <c r="A197" s="105"/>
      <c r="B197" s="102" t="s">
        <v>112</v>
      </c>
      <c r="C197" s="102"/>
      <c r="D197" s="85">
        <f t="shared" ref="D197" si="414">EXP($C10-$D10/($E10+D$232))/$D$5</f>
        <v>5.7124029408159682</v>
      </c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  <c r="AH197" s="85"/>
      <c r="AI197" s="85"/>
      <c r="AJ197" s="85"/>
      <c r="AK197" s="85"/>
      <c r="AL197" s="85"/>
      <c r="AM197" s="85"/>
      <c r="AN197" s="85"/>
      <c r="AO197" s="85"/>
      <c r="AP197" s="85"/>
      <c r="AQ197" s="85"/>
      <c r="AR197" s="85"/>
      <c r="AS197" s="85"/>
      <c r="AT197" s="85"/>
      <c r="AU197" s="85"/>
      <c r="AV197" s="85"/>
      <c r="AW197" s="85"/>
      <c r="AX197" s="85"/>
      <c r="AY197" s="85"/>
      <c r="AZ197" s="85"/>
      <c r="BA197" s="85"/>
      <c r="BB197" s="85"/>
      <c r="BC197" s="85"/>
      <c r="BD197" s="85"/>
      <c r="BE197" s="85"/>
      <c r="BF197" s="85"/>
    </row>
    <row r="198" spans="1:58" x14ac:dyDescent="0.25">
      <c r="A198" s="20"/>
      <c r="B198" s="20" t="s">
        <v>113</v>
      </c>
      <c r="C198" s="20"/>
      <c r="D198" s="85">
        <f t="shared" ref="D198:D206" si="415">EXP($C11-$D11/($E11+D$232))/$D$5</f>
        <v>2.6579453895431047</v>
      </c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  <c r="AH198" s="85"/>
      <c r="AI198" s="85"/>
      <c r="AJ198" s="85"/>
      <c r="AK198" s="85"/>
      <c r="AL198" s="85"/>
      <c r="AM198" s="85"/>
      <c r="AN198" s="85"/>
      <c r="AO198" s="85"/>
      <c r="AP198" s="85"/>
      <c r="AQ198" s="85"/>
      <c r="AR198" s="85"/>
      <c r="AS198" s="85"/>
      <c r="AT198" s="85"/>
      <c r="AU198" s="85"/>
      <c r="AV198" s="85"/>
      <c r="AW198" s="85"/>
      <c r="AX198" s="85"/>
      <c r="AY198" s="85"/>
      <c r="AZ198" s="85"/>
      <c r="BA198" s="85"/>
      <c r="BB198" s="85"/>
      <c r="BC198" s="85"/>
      <c r="BD198" s="85"/>
      <c r="BE198" s="85"/>
      <c r="BF198" s="85"/>
    </row>
    <row r="199" spans="1:58" x14ac:dyDescent="0.25">
      <c r="A199" s="20"/>
      <c r="B199" s="20" t="s">
        <v>114</v>
      </c>
      <c r="C199" s="20"/>
      <c r="D199" s="85">
        <f t="shared" si="415"/>
        <v>1.9083699462985491</v>
      </c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85"/>
      <c r="AG199" s="85"/>
      <c r="AH199" s="85"/>
      <c r="AI199" s="85"/>
      <c r="AJ199" s="85"/>
      <c r="AK199" s="85"/>
      <c r="AL199" s="85"/>
      <c r="AM199" s="85"/>
      <c r="AN199" s="85"/>
      <c r="AO199" s="85"/>
      <c r="AP199" s="85"/>
      <c r="AQ199" s="85"/>
      <c r="AR199" s="85"/>
      <c r="AS199" s="85"/>
      <c r="AT199" s="85"/>
      <c r="AU199" s="85"/>
      <c r="AV199" s="85"/>
      <c r="AW199" s="85"/>
      <c r="AX199" s="85"/>
      <c r="AY199" s="85"/>
      <c r="AZ199" s="85"/>
      <c r="BA199" s="85"/>
      <c r="BB199" s="85"/>
      <c r="BC199" s="85"/>
      <c r="BD199" s="85"/>
      <c r="BE199" s="85"/>
      <c r="BF199" s="85"/>
    </row>
    <row r="200" spans="1:58" x14ac:dyDescent="0.25">
      <c r="A200" s="20"/>
      <c r="B200" s="20" t="s">
        <v>115</v>
      </c>
      <c r="C200" s="20"/>
      <c r="D200" s="85">
        <f t="shared" si="415"/>
        <v>1.0364888431209243</v>
      </c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5"/>
      <c r="AL200" s="85"/>
      <c r="AM200" s="85"/>
      <c r="AN200" s="85"/>
      <c r="AO200" s="85"/>
      <c r="AP200" s="85"/>
      <c r="AQ200" s="85"/>
      <c r="AR200" s="85"/>
      <c r="AS200" s="85"/>
      <c r="AT200" s="85"/>
      <c r="AU200" s="85"/>
      <c r="AV200" s="85"/>
      <c r="AW200" s="85"/>
      <c r="AX200" s="85"/>
      <c r="AY200" s="85"/>
      <c r="AZ200" s="85"/>
      <c r="BA200" s="85"/>
      <c r="BB200" s="85"/>
      <c r="BC200" s="85"/>
      <c r="BD200" s="85"/>
      <c r="BE200" s="85"/>
      <c r="BF200" s="85"/>
    </row>
    <row r="201" spans="1:58" x14ac:dyDescent="0.25">
      <c r="A201" s="20"/>
      <c r="B201" s="20" t="s">
        <v>116</v>
      </c>
      <c r="C201" s="20"/>
      <c r="D201" s="85">
        <f t="shared" si="415"/>
        <v>0.87239742418804411</v>
      </c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85"/>
      <c r="AN201" s="85"/>
      <c r="AO201" s="85"/>
      <c r="AP201" s="85"/>
      <c r="AQ201" s="85"/>
      <c r="AR201" s="85"/>
      <c r="AS201" s="85"/>
      <c r="AT201" s="85"/>
      <c r="AU201" s="85"/>
      <c r="AV201" s="85"/>
      <c r="AW201" s="85"/>
      <c r="AX201" s="85"/>
      <c r="AY201" s="85"/>
      <c r="AZ201" s="85"/>
      <c r="BA201" s="85"/>
      <c r="BB201" s="85"/>
      <c r="BC201" s="85"/>
      <c r="BD201" s="85"/>
      <c r="BE201" s="85"/>
      <c r="BF201" s="85"/>
    </row>
    <row r="202" spans="1:58" x14ac:dyDescent="0.25">
      <c r="A202" s="20"/>
      <c r="B202" s="20" t="s">
        <v>145</v>
      </c>
      <c r="C202" s="20"/>
      <c r="D202" s="85">
        <f t="shared" si="415"/>
        <v>1.5785177228786252E-4</v>
      </c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  <c r="AK202" s="85"/>
      <c r="AL202" s="85"/>
      <c r="AM202" s="85"/>
      <c r="AN202" s="85"/>
      <c r="AO202" s="85"/>
      <c r="AP202" s="85"/>
      <c r="AQ202" s="85"/>
      <c r="AR202" s="85"/>
      <c r="AS202" s="85"/>
      <c r="AT202" s="85"/>
      <c r="AU202" s="85"/>
      <c r="AV202" s="85"/>
      <c r="AW202" s="85"/>
      <c r="AX202" s="85"/>
      <c r="AY202" s="85"/>
      <c r="AZ202" s="85"/>
      <c r="BA202" s="85"/>
      <c r="BB202" s="85"/>
      <c r="BC202" s="85"/>
      <c r="BD202" s="85"/>
      <c r="BE202" s="85"/>
      <c r="BF202" s="85"/>
    </row>
    <row r="203" spans="1:58" x14ac:dyDescent="0.25">
      <c r="A203" s="20"/>
      <c r="B203" s="20" t="s">
        <v>146</v>
      </c>
      <c r="C203" s="20"/>
      <c r="D203" s="85">
        <f t="shared" si="415"/>
        <v>1.5785177228786252E-4</v>
      </c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85"/>
      <c r="AG203" s="85"/>
      <c r="AH203" s="85"/>
      <c r="AI203" s="85"/>
      <c r="AJ203" s="85"/>
      <c r="AK203" s="85"/>
      <c r="AL203" s="85"/>
      <c r="AM203" s="85"/>
      <c r="AN203" s="85"/>
      <c r="AO203" s="85"/>
      <c r="AP203" s="85"/>
      <c r="AQ203" s="85"/>
      <c r="AR203" s="85"/>
      <c r="AS203" s="85"/>
      <c r="AT203" s="85"/>
      <c r="AU203" s="85"/>
      <c r="AV203" s="85"/>
      <c r="AW203" s="85"/>
      <c r="AX203" s="85"/>
      <c r="AY203" s="85"/>
      <c r="AZ203" s="85"/>
      <c r="BA203" s="85"/>
      <c r="BB203" s="85"/>
      <c r="BC203" s="85"/>
      <c r="BD203" s="85"/>
      <c r="BE203" s="85"/>
      <c r="BF203" s="85"/>
    </row>
    <row r="204" spans="1:58" x14ac:dyDescent="0.25">
      <c r="A204" s="20"/>
      <c r="B204" s="20" t="s">
        <v>147</v>
      </c>
      <c r="C204" s="20"/>
      <c r="D204" s="85">
        <f t="shared" si="415"/>
        <v>1.5785177228786252E-4</v>
      </c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F204" s="85"/>
      <c r="AG204" s="85"/>
      <c r="AH204" s="85"/>
      <c r="AI204" s="85"/>
      <c r="AJ204" s="85"/>
      <c r="AK204" s="85"/>
      <c r="AL204" s="85"/>
      <c r="AM204" s="85"/>
      <c r="AN204" s="85"/>
      <c r="AO204" s="85"/>
      <c r="AP204" s="85"/>
      <c r="AQ204" s="85"/>
      <c r="AR204" s="85"/>
      <c r="AS204" s="85"/>
      <c r="AT204" s="85"/>
      <c r="AU204" s="85"/>
      <c r="AV204" s="85"/>
      <c r="AW204" s="85"/>
      <c r="AX204" s="85"/>
      <c r="AY204" s="85"/>
      <c r="AZ204" s="85"/>
      <c r="BA204" s="85"/>
      <c r="BB204" s="85"/>
      <c r="BC204" s="85"/>
      <c r="BD204" s="85"/>
      <c r="BE204" s="85"/>
      <c r="BF204" s="85"/>
    </row>
    <row r="205" spans="1:58" x14ac:dyDescent="0.25">
      <c r="A205" s="20"/>
      <c r="B205" s="20" t="s">
        <v>148</v>
      </c>
      <c r="C205" s="20"/>
      <c r="D205" s="85">
        <f t="shared" si="415"/>
        <v>1.5785177228786252E-4</v>
      </c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F205" s="85"/>
      <c r="AG205" s="85"/>
      <c r="AH205" s="85"/>
      <c r="AI205" s="85"/>
      <c r="AJ205" s="85"/>
      <c r="AK205" s="85"/>
      <c r="AL205" s="85"/>
      <c r="AM205" s="85"/>
      <c r="AN205" s="85"/>
      <c r="AO205" s="85"/>
      <c r="AP205" s="85"/>
      <c r="AQ205" s="85"/>
      <c r="AR205" s="85"/>
      <c r="AS205" s="85"/>
      <c r="AT205" s="85"/>
      <c r="AU205" s="85"/>
      <c r="AV205" s="85"/>
      <c r="AW205" s="85"/>
      <c r="AX205" s="85"/>
      <c r="AY205" s="85"/>
      <c r="AZ205" s="85"/>
      <c r="BA205" s="85"/>
      <c r="BB205" s="85"/>
      <c r="BC205" s="85"/>
      <c r="BD205" s="85"/>
      <c r="BE205" s="85"/>
      <c r="BF205" s="85"/>
    </row>
    <row r="206" spans="1:58" x14ac:dyDescent="0.25">
      <c r="A206" s="20"/>
      <c r="B206" s="20" t="s">
        <v>149</v>
      </c>
      <c r="C206" s="20"/>
      <c r="D206" s="85">
        <f t="shared" si="415"/>
        <v>1.5785177228786252E-4</v>
      </c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F206" s="85"/>
      <c r="AG206" s="85"/>
      <c r="AH206" s="85"/>
      <c r="AI206" s="85"/>
      <c r="AJ206" s="85"/>
      <c r="AK206" s="85"/>
      <c r="AL206" s="85"/>
      <c r="AM206" s="85"/>
      <c r="AN206" s="85"/>
      <c r="AO206" s="85"/>
      <c r="AP206" s="85"/>
      <c r="AQ206" s="85"/>
      <c r="AR206" s="85"/>
      <c r="AS206" s="85"/>
      <c r="AT206" s="85"/>
      <c r="AU206" s="85"/>
      <c r="AV206" s="85"/>
      <c r="AW206" s="85"/>
      <c r="AX206" s="85"/>
      <c r="AY206" s="85"/>
      <c r="AZ206" s="85"/>
      <c r="BA206" s="85"/>
      <c r="BB206" s="85"/>
      <c r="BC206" s="85"/>
      <c r="BD206" s="85"/>
      <c r="BE206" s="85"/>
      <c r="BF206" s="85"/>
    </row>
    <row r="207" spans="1:58" x14ac:dyDescent="0.25">
      <c r="A207" s="20"/>
      <c r="B207" s="20" t="s">
        <v>117</v>
      </c>
      <c r="C207" s="20"/>
      <c r="D207" s="86">
        <f t="shared" ref="D207" si="416">($C26*(D$232-$C$22)+$E26)*D177</f>
        <v>10164.773192361285</v>
      </c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C207" s="86"/>
      <c r="BD207" s="86"/>
      <c r="BE207" s="86"/>
      <c r="BF207" s="86"/>
    </row>
    <row r="208" spans="1:58" x14ac:dyDescent="0.25">
      <c r="A208" s="20"/>
      <c r="B208" s="20" t="s">
        <v>118</v>
      </c>
      <c r="C208" s="20"/>
      <c r="D208" s="86">
        <f t="shared" ref="D208:D216" si="417">($C27*(D$232-$C$22)+$E27)*D178</f>
        <v>12163.949314102874</v>
      </c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C208" s="86"/>
      <c r="BD208" s="86"/>
      <c r="BE208" s="86"/>
      <c r="BF208" s="86"/>
    </row>
    <row r="209" spans="1:58" x14ac:dyDescent="0.25">
      <c r="A209" s="20"/>
      <c r="B209" s="20" t="s">
        <v>119</v>
      </c>
      <c r="C209" s="20"/>
      <c r="D209" s="86">
        <f t="shared" si="417"/>
        <v>34687.067461622006</v>
      </c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C209" s="86"/>
      <c r="BD209" s="86"/>
      <c r="BE209" s="86"/>
      <c r="BF209" s="86"/>
    </row>
    <row r="210" spans="1:58" x14ac:dyDescent="0.25">
      <c r="A210" s="20"/>
      <c r="B210" s="20" t="s">
        <v>120</v>
      </c>
      <c r="C210" s="20"/>
      <c r="D210" s="86">
        <f t="shared" si="417"/>
        <v>682660.19516053982</v>
      </c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C210" s="86"/>
      <c r="BD210" s="86"/>
      <c r="BE210" s="86"/>
      <c r="BF210" s="86"/>
    </row>
    <row r="211" spans="1:58" x14ac:dyDescent="0.25">
      <c r="A211" s="20"/>
      <c r="B211" s="20" t="s">
        <v>121</v>
      </c>
      <c r="C211" s="20"/>
      <c r="D211" s="86">
        <f t="shared" si="417"/>
        <v>1159251.5587096289</v>
      </c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C211" s="86"/>
      <c r="BD211" s="86"/>
      <c r="BE211" s="86"/>
      <c r="BF211" s="86"/>
    </row>
    <row r="212" spans="1:58" x14ac:dyDescent="0.25">
      <c r="A212" s="20"/>
      <c r="B212" s="20" t="s">
        <v>150</v>
      </c>
      <c r="C212" s="20"/>
      <c r="D212" s="86">
        <f t="shared" si="417"/>
        <v>0</v>
      </c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C212" s="86"/>
      <c r="BD212" s="86"/>
      <c r="BE212" s="86"/>
      <c r="BF212" s="86"/>
    </row>
    <row r="213" spans="1:58" x14ac:dyDescent="0.25">
      <c r="A213" s="20"/>
      <c r="B213" s="20" t="s">
        <v>151</v>
      </c>
      <c r="C213" s="20"/>
      <c r="D213" s="86">
        <f t="shared" si="417"/>
        <v>0</v>
      </c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C213" s="86"/>
      <c r="BD213" s="86"/>
      <c r="BE213" s="86"/>
      <c r="BF213" s="86"/>
    </row>
    <row r="214" spans="1:58" x14ac:dyDescent="0.25">
      <c r="A214" s="20"/>
      <c r="B214" s="20" t="s">
        <v>152</v>
      </c>
      <c r="C214" s="20"/>
      <c r="D214" s="86">
        <f t="shared" si="417"/>
        <v>0</v>
      </c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  <c r="AR214" s="86"/>
      <c r="AS214" s="86"/>
      <c r="AT214" s="86"/>
      <c r="AU214" s="86"/>
      <c r="AV214" s="86"/>
      <c r="AW214" s="86"/>
      <c r="AX214" s="86"/>
      <c r="AY214" s="86"/>
      <c r="AZ214" s="86"/>
      <c r="BA214" s="86"/>
      <c r="BB214" s="86"/>
      <c r="BC214" s="86"/>
      <c r="BD214" s="86"/>
      <c r="BE214" s="86"/>
      <c r="BF214" s="86"/>
    </row>
    <row r="215" spans="1:58" x14ac:dyDescent="0.25">
      <c r="A215" s="20"/>
      <c r="B215" s="20" t="s">
        <v>153</v>
      </c>
      <c r="C215" s="20"/>
      <c r="D215" s="86">
        <f t="shared" si="417"/>
        <v>0</v>
      </c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  <c r="AR215" s="86"/>
      <c r="AS215" s="86"/>
      <c r="AT215" s="86"/>
      <c r="AU215" s="86"/>
      <c r="AV215" s="86"/>
      <c r="AW215" s="86"/>
      <c r="AX215" s="86"/>
      <c r="AY215" s="86"/>
      <c r="AZ215" s="86"/>
      <c r="BA215" s="86"/>
      <c r="BB215" s="86"/>
      <c r="BC215" s="86"/>
      <c r="BD215" s="86"/>
      <c r="BE215" s="86"/>
      <c r="BF215" s="86"/>
    </row>
    <row r="216" spans="1:58" x14ac:dyDescent="0.25">
      <c r="A216" s="20"/>
      <c r="B216" s="20" t="s">
        <v>154</v>
      </c>
      <c r="C216" s="20"/>
      <c r="D216" s="86">
        <f t="shared" si="417"/>
        <v>0</v>
      </c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  <c r="AR216" s="86"/>
      <c r="AS216" s="86"/>
      <c r="AT216" s="86"/>
      <c r="AU216" s="86"/>
      <c r="AV216" s="86"/>
      <c r="AW216" s="86"/>
      <c r="AX216" s="86"/>
      <c r="AY216" s="86"/>
      <c r="AZ216" s="86"/>
      <c r="BA216" s="86"/>
      <c r="BB216" s="86"/>
      <c r="BC216" s="86"/>
      <c r="BD216" s="86"/>
      <c r="BE216" s="86"/>
      <c r="BF216" s="86"/>
    </row>
    <row r="217" spans="1:58" x14ac:dyDescent="0.25">
      <c r="A217" s="20"/>
      <c r="B217" s="20" t="s">
        <v>175</v>
      </c>
      <c r="C217" s="20"/>
      <c r="D217" s="86">
        <f t="shared" ref="D217" si="418">SUM(D207:D216)</f>
        <v>1898927.5438382549</v>
      </c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  <c r="AR217" s="86"/>
      <c r="AS217" s="86"/>
      <c r="AT217" s="86"/>
      <c r="AU217" s="86"/>
      <c r="AV217" s="86"/>
      <c r="AW217" s="86"/>
      <c r="AX217" s="86"/>
      <c r="AY217" s="86"/>
      <c r="AZ217" s="86"/>
      <c r="BA217" s="86"/>
      <c r="BB217" s="86"/>
      <c r="BC217" s="86"/>
      <c r="BD217" s="86"/>
      <c r="BE217" s="86"/>
      <c r="BF217" s="86"/>
    </row>
    <row r="218" spans="1:58" x14ac:dyDescent="0.25">
      <c r="A218" s="20"/>
      <c r="B218" s="20" t="s">
        <v>122</v>
      </c>
      <c r="C218" s="20"/>
      <c r="D218" s="85">
        <f t="shared" ref="D218" si="419">($D26*(D$154-$C$22)+$F26)*D156</f>
        <v>11401.470582481779</v>
      </c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F218" s="85"/>
      <c r="AG218" s="85"/>
      <c r="AH218" s="85"/>
      <c r="AI218" s="85"/>
      <c r="AJ218" s="85"/>
      <c r="AK218" s="85"/>
      <c r="AL218" s="85"/>
      <c r="AM218" s="85"/>
      <c r="AN218" s="85"/>
      <c r="AO218" s="85"/>
      <c r="AP218" s="85"/>
      <c r="AQ218" s="85"/>
      <c r="AR218" s="85"/>
      <c r="AS218" s="85"/>
      <c r="AT218" s="85"/>
      <c r="AU218" s="85"/>
      <c r="AV218" s="85"/>
      <c r="AW218" s="85"/>
      <c r="AX218" s="85"/>
      <c r="AY218" s="85"/>
      <c r="AZ218" s="85"/>
      <c r="BA218" s="85"/>
      <c r="BB218" s="85"/>
      <c r="BC218" s="85"/>
      <c r="BD218" s="85"/>
      <c r="BE218" s="85"/>
      <c r="BF218" s="85"/>
    </row>
    <row r="219" spans="1:58" x14ac:dyDescent="0.25">
      <c r="A219" s="20"/>
      <c r="B219" s="20" t="s">
        <v>123</v>
      </c>
      <c r="C219" s="20"/>
      <c r="D219" s="85">
        <f t="shared" ref="D219:D227" si="420">($D27*(D$154-$C$22)+$F27)*D157</f>
        <v>15096.296346461788</v>
      </c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  <c r="AH219" s="85"/>
      <c r="AI219" s="85"/>
      <c r="AJ219" s="85"/>
      <c r="AK219" s="85"/>
      <c r="AL219" s="85"/>
      <c r="AM219" s="85"/>
      <c r="AN219" s="85"/>
      <c r="AO219" s="85"/>
      <c r="AP219" s="85"/>
      <c r="AQ219" s="85"/>
      <c r="AR219" s="85"/>
      <c r="AS219" s="85"/>
      <c r="AT219" s="85"/>
      <c r="AU219" s="85"/>
      <c r="AV219" s="85"/>
      <c r="AW219" s="85"/>
      <c r="AX219" s="85"/>
      <c r="AY219" s="85"/>
      <c r="AZ219" s="85"/>
      <c r="BA219" s="85"/>
      <c r="BB219" s="85"/>
      <c r="BC219" s="85"/>
      <c r="BD219" s="85"/>
      <c r="BE219" s="85"/>
      <c r="BF219" s="85"/>
    </row>
    <row r="220" spans="1:58" x14ac:dyDescent="0.25">
      <c r="A220" s="20"/>
      <c r="B220" s="20" t="s">
        <v>124</v>
      </c>
      <c r="C220" s="20"/>
      <c r="D220" s="85">
        <f t="shared" si="420"/>
        <v>41298.576896136285</v>
      </c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85"/>
      <c r="AI220" s="85"/>
      <c r="AJ220" s="85"/>
      <c r="AK220" s="85"/>
      <c r="AL220" s="85"/>
      <c r="AM220" s="85"/>
      <c r="AN220" s="85"/>
      <c r="AO220" s="85"/>
      <c r="AP220" s="85"/>
      <c r="AQ220" s="85"/>
      <c r="AR220" s="85"/>
      <c r="AS220" s="85"/>
      <c r="AT220" s="85"/>
      <c r="AU220" s="85"/>
      <c r="AV220" s="85"/>
      <c r="AW220" s="85"/>
      <c r="AX220" s="85"/>
      <c r="AY220" s="85"/>
      <c r="AZ220" s="85"/>
      <c r="BA220" s="85"/>
      <c r="BB220" s="85"/>
      <c r="BC220" s="85"/>
      <c r="BD220" s="85"/>
      <c r="BE220" s="85"/>
      <c r="BF220" s="85"/>
    </row>
    <row r="221" spans="1:58" x14ac:dyDescent="0.25">
      <c r="A221" s="20"/>
      <c r="B221" s="20" t="s">
        <v>125</v>
      </c>
      <c r="C221" s="20"/>
      <c r="D221" s="85">
        <f t="shared" si="420"/>
        <v>729931.37791920034</v>
      </c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  <c r="AF221" s="85"/>
      <c r="AG221" s="85"/>
      <c r="AH221" s="85"/>
      <c r="AI221" s="85"/>
      <c r="AJ221" s="85"/>
      <c r="AK221" s="85"/>
      <c r="AL221" s="85"/>
      <c r="AM221" s="85"/>
      <c r="AN221" s="85"/>
      <c r="AO221" s="85"/>
      <c r="AP221" s="85"/>
      <c r="AQ221" s="85"/>
      <c r="AR221" s="85"/>
      <c r="AS221" s="85"/>
      <c r="AT221" s="85"/>
      <c r="AU221" s="85"/>
      <c r="AV221" s="85"/>
      <c r="AW221" s="85"/>
      <c r="AX221" s="85"/>
      <c r="AY221" s="85"/>
      <c r="AZ221" s="85"/>
      <c r="BA221" s="85"/>
      <c r="BB221" s="85"/>
      <c r="BC221" s="85"/>
      <c r="BD221" s="85"/>
      <c r="BE221" s="85"/>
      <c r="BF221" s="85"/>
    </row>
    <row r="222" spans="1:58" x14ac:dyDescent="0.25">
      <c r="A222" s="20"/>
      <c r="B222" s="20" t="s">
        <v>126</v>
      </c>
      <c r="C222" s="20"/>
      <c r="D222" s="85">
        <f t="shared" si="420"/>
        <v>1232172.0599846353</v>
      </c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  <c r="AF222" s="85"/>
      <c r="AG222" s="85"/>
      <c r="AH222" s="85"/>
      <c r="AI222" s="85"/>
      <c r="AJ222" s="85"/>
      <c r="AK222" s="85"/>
      <c r="AL222" s="85"/>
      <c r="AM222" s="85"/>
      <c r="AN222" s="85"/>
      <c r="AO222" s="85"/>
      <c r="AP222" s="85"/>
      <c r="AQ222" s="85"/>
      <c r="AR222" s="85"/>
      <c r="AS222" s="85"/>
      <c r="AT222" s="85"/>
      <c r="AU222" s="85"/>
      <c r="AV222" s="85"/>
      <c r="AW222" s="85"/>
      <c r="AX222" s="85"/>
      <c r="AY222" s="85"/>
      <c r="AZ222" s="85"/>
      <c r="BA222" s="85"/>
      <c r="BB222" s="85"/>
      <c r="BC222" s="85"/>
      <c r="BD222" s="85"/>
      <c r="BE222" s="85"/>
      <c r="BF222" s="85"/>
    </row>
    <row r="223" spans="1:58" x14ac:dyDescent="0.25">
      <c r="A223" s="20"/>
      <c r="B223" s="20" t="s">
        <v>155</v>
      </c>
      <c r="C223" s="20"/>
      <c r="D223" s="85">
        <f t="shared" si="420"/>
        <v>0</v>
      </c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  <c r="AF223" s="85"/>
      <c r="AG223" s="85"/>
      <c r="AH223" s="85"/>
      <c r="AI223" s="85"/>
      <c r="AJ223" s="85"/>
      <c r="AK223" s="85"/>
      <c r="AL223" s="85"/>
      <c r="AM223" s="85"/>
      <c r="AN223" s="85"/>
      <c r="AO223" s="85"/>
      <c r="AP223" s="85"/>
      <c r="AQ223" s="85"/>
      <c r="AR223" s="85"/>
      <c r="AS223" s="85"/>
      <c r="AT223" s="85"/>
      <c r="AU223" s="85"/>
      <c r="AV223" s="85"/>
      <c r="AW223" s="85"/>
      <c r="AX223" s="85"/>
      <c r="AY223" s="85"/>
      <c r="AZ223" s="85"/>
      <c r="BA223" s="85"/>
      <c r="BB223" s="85"/>
      <c r="BC223" s="85"/>
      <c r="BD223" s="85"/>
      <c r="BE223" s="85"/>
      <c r="BF223" s="85"/>
    </row>
    <row r="224" spans="1:58" x14ac:dyDescent="0.25">
      <c r="A224" s="20"/>
      <c r="B224" s="20" t="s">
        <v>156</v>
      </c>
      <c r="C224" s="20"/>
      <c r="D224" s="85">
        <f t="shared" si="420"/>
        <v>0</v>
      </c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  <c r="AF224" s="85"/>
      <c r="AG224" s="85"/>
      <c r="AH224" s="85"/>
      <c r="AI224" s="85"/>
      <c r="AJ224" s="85"/>
      <c r="AK224" s="85"/>
      <c r="AL224" s="85"/>
      <c r="AM224" s="85"/>
      <c r="AN224" s="85"/>
      <c r="AO224" s="85"/>
      <c r="AP224" s="85"/>
      <c r="AQ224" s="85"/>
      <c r="AR224" s="85"/>
      <c r="AS224" s="85"/>
      <c r="AT224" s="85"/>
      <c r="AU224" s="85"/>
      <c r="AV224" s="85"/>
      <c r="AW224" s="85"/>
      <c r="AX224" s="85"/>
      <c r="AY224" s="85"/>
      <c r="AZ224" s="85"/>
      <c r="BA224" s="85"/>
      <c r="BB224" s="85"/>
      <c r="BC224" s="85"/>
      <c r="BD224" s="85"/>
      <c r="BE224" s="85"/>
      <c r="BF224" s="85"/>
    </row>
    <row r="225" spans="1:58" x14ac:dyDescent="0.25">
      <c r="A225" s="20"/>
      <c r="B225" s="20" t="s">
        <v>157</v>
      </c>
      <c r="C225" s="20"/>
      <c r="D225" s="85">
        <f t="shared" si="420"/>
        <v>0</v>
      </c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85"/>
      <c r="AG225" s="85"/>
      <c r="AH225" s="85"/>
      <c r="AI225" s="85"/>
      <c r="AJ225" s="85"/>
      <c r="AK225" s="85"/>
      <c r="AL225" s="85"/>
      <c r="AM225" s="85"/>
      <c r="AN225" s="85"/>
      <c r="AO225" s="85"/>
      <c r="AP225" s="85"/>
      <c r="AQ225" s="85"/>
      <c r="AR225" s="85"/>
      <c r="AS225" s="85"/>
      <c r="AT225" s="85"/>
      <c r="AU225" s="85"/>
      <c r="AV225" s="85"/>
      <c r="AW225" s="85"/>
      <c r="AX225" s="85"/>
      <c r="AY225" s="85"/>
      <c r="AZ225" s="85"/>
      <c r="BA225" s="85"/>
      <c r="BB225" s="85"/>
      <c r="BC225" s="85"/>
      <c r="BD225" s="85"/>
      <c r="BE225" s="85"/>
      <c r="BF225" s="85"/>
    </row>
    <row r="226" spans="1:58" x14ac:dyDescent="0.25">
      <c r="A226" s="20"/>
      <c r="B226" s="20" t="s">
        <v>158</v>
      </c>
      <c r="C226" s="20"/>
      <c r="D226" s="85">
        <f t="shared" si="420"/>
        <v>0</v>
      </c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85"/>
      <c r="AG226" s="85"/>
      <c r="AH226" s="85"/>
      <c r="AI226" s="85"/>
      <c r="AJ226" s="85"/>
      <c r="AK226" s="85"/>
      <c r="AL226" s="85"/>
      <c r="AM226" s="85"/>
      <c r="AN226" s="85"/>
      <c r="AO226" s="85"/>
      <c r="AP226" s="85"/>
      <c r="AQ226" s="85"/>
      <c r="AR226" s="85"/>
      <c r="AS226" s="85"/>
      <c r="AT226" s="85"/>
      <c r="AU226" s="85"/>
      <c r="AV226" s="85"/>
      <c r="AW226" s="85"/>
      <c r="AX226" s="85"/>
      <c r="AY226" s="85"/>
      <c r="AZ226" s="85"/>
      <c r="BA226" s="85"/>
      <c r="BB226" s="85"/>
      <c r="BC226" s="85"/>
      <c r="BD226" s="85"/>
      <c r="BE226" s="85"/>
      <c r="BF226" s="85"/>
    </row>
    <row r="227" spans="1:58" x14ac:dyDescent="0.25">
      <c r="A227" s="20"/>
      <c r="B227" s="20" t="s">
        <v>159</v>
      </c>
      <c r="C227" s="20"/>
      <c r="D227" s="85">
        <f t="shared" si="420"/>
        <v>0</v>
      </c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  <c r="AH227" s="85"/>
      <c r="AI227" s="85"/>
      <c r="AJ227" s="85"/>
      <c r="AK227" s="85"/>
      <c r="AL227" s="85"/>
      <c r="AM227" s="85"/>
      <c r="AN227" s="85"/>
      <c r="AO227" s="85"/>
      <c r="AP227" s="85"/>
      <c r="AQ227" s="85"/>
      <c r="AR227" s="85"/>
      <c r="AS227" s="85"/>
      <c r="AT227" s="85"/>
      <c r="AU227" s="85"/>
      <c r="AV227" s="85"/>
      <c r="AW227" s="85"/>
      <c r="AX227" s="85"/>
      <c r="AY227" s="85"/>
      <c r="AZ227" s="85"/>
      <c r="BA227" s="85"/>
      <c r="BB227" s="85"/>
      <c r="BC227" s="85"/>
      <c r="BD227" s="85"/>
      <c r="BE227" s="85"/>
      <c r="BF227" s="85"/>
    </row>
    <row r="228" spans="1:58" x14ac:dyDescent="0.25">
      <c r="A228" s="20"/>
      <c r="B228" s="20" t="s">
        <v>176</v>
      </c>
      <c r="C228" s="20"/>
      <c r="D228" s="85">
        <f t="shared" ref="D228" si="421">SUM(D218:D227)</f>
        <v>2029899.7817289154</v>
      </c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  <c r="AH228" s="85"/>
      <c r="AI228" s="85"/>
      <c r="AJ228" s="85"/>
      <c r="AK228" s="85"/>
      <c r="AL228" s="85"/>
      <c r="AM228" s="85"/>
      <c r="AN228" s="85"/>
      <c r="AO228" s="85"/>
      <c r="AP228" s="85"/>
      <c r="AQ228" s="85"/>
      <c r="AR228" s="85"/>
      <c r="AS228" s="85"/>
      <c r="AT228" s="85"/>
      <c r="AU228" s="85"/>
      <c r="AV228" s="85"/>
      <c r="AW228" s="85"/>
      <c r="AX228" s="85"/>
      <c r="AY228" s="85"/>
      <c r="AZ228" s="85"/>
      <c r="BA228" s="85"/>
      <c r="BB228" s="85"/>
      <c r="BC228" s="85"/>
      <c r="BD228" s="85"/>
      <c r="BE228" s="85"/>
      <c r="BF228" s="85"/>
    </row>
    <row r="229" spans="1:58" x14ac:dyDescent="0.25">
      <c r="A229" s="20"/>
      <c r="B229" s="20" t="s">
        <v>177</v>
      </c>
      <c r="C229" s="20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85"/>
      <c r="AG229" s="85"/>
      <c r="AH229" s="85"/>
      <c r="AI229" s="85"/>
      <c r="AJ229" s="85"/>
      <c r="AK229" s="85"/>
      <c r="AL229" s="85"/>
      <c r="AM229" s="85"/>
      <c r="AN229" s="85"/>
      <c r="AO229" s="85"/>
      <c r="AP229" s="85"/>
      <c r="AQ229" s="85"/>
      <c r="AR229" s="85"/>
      <c r="AS229" s="85"/>
      <c r="AT229" s="85"/>
      <c r="AU229" s="85"/>
      <c r="AV229" s="85"/>
      <c r="AW229" s="85"/>
      <c r="AX229" s="85"/>
      <c r="AY229" s="85"/>
      <c r="AZ229" s="85"/>
      <c r="BA229" s="85"/>
      <c r="BB229" s="85"/>
      <c r="BC229" s="85"/>
      <c r="BD229" s="85"/>
      <c r="BE229" s="85"/>
      <c r="BF229" s="85"/>
    </row>
    <row r="230" spans="1:58" x14ac:dyDescent="0.25">
      <c r="A230" s="20"/>
      <c r="B230" s="20" t="s">
        <v>211</v>
      </c>
      <c r="C230" s="20"/>
      <c r="D230" s="96">
        <f t="shared" ref="D230" si="422">D228+$O$36-D217-$Q$22</f>
        <v>0</v>
      </c>
      <c r="E230" s="96"/>
      <c r="F230" s="96"/>
      <c r="G230" s="96"/>
      <c r="H230" s="96"/>
      <c r="I230" s="96"/>
      <c r="J230" s="96"/>
      <c r="K230" s="96"/>
      <c r="L230" s="96"/>
      <c r="M230" s="96"/>
      <c r="N230" s="96"/>
      <c r="O230" s="96"/>
      <c r="P230" s="96"/>
      <c r="Q230" s="96"/>
      <c r="R230" s="96"/>
      <c r="S230" s="96"/>
      <c r="T230" s="96"/>
      <c r="U230" s="96"/>
      <c r="V230" s="96"/>
      <c r="W230" s="96"/>
      <c r="X230" s="96"/>
      <c r="Y230" s="96"/>
      <c r="Z230" s="96"/>
      <c r="AA230" s="96"/>
      <c r="AB230" s="96"/>
      <c r="AC230" s="96"/>
      <c r="AD230" s="96"/>
      <c r="AE230" s="96"/>
      <c r="AF230" s="96"/>
      <c r="AG230" s="96"/>
      <c r="AH230" s="96"/>
      <c r="AI230" s="96"/>
      <c r="AJ230" s="96"/>
      <c r="AK230" s="96"/>
      <c r="AL230" s="96"/>
      <c r="AM230" s="96"/>
      <c r="AN230" s="96"/>
      <c r="AO230" s="96"/>
      <c r="AP230" s="96"/>
      <c r="AQ230" s="96"/>
      <c r="AR230" s="96"/>
      <c r="AS230" s="96"/>
      <c r="AT230" s="96"/>
      <c r="AU230" s="96"/>
      <c r="AV230" s="96"/>
      <c r="AW230" s="96"/>
      <c r="AX230" s="96"/>
      <c r="AY230" s="96"/>
      <c r="AZ230" s="96"/>
      <c r="BA230" s="96"/>
      <c r="BB230" s="96"/>
      <c r="BC230" s="96"/>
      <c r="BD230" s="96"/>
      <c r="BE230" s="96"/>
      <c r="BF230" s="96"/>
    </row>
    <row r="231" spans="1:58" x14ac:dyDescent="0.25">
      <c r="A231" s="20"/>
      <c r="B231" s="20" t="s">
        <v>216</v>
      </c>
      <c r="C231" s="20"/>
      <c r="D231" s="87">
        <f>VLOOKUP(CONCATENATE("y",Foglio2!$J8),Foglio1!$B166:D175,D153+2,FALSE)/VLOOKUP(CONCATENATE("y",Foglio2!$J9),Foglio1!$B166:D175,D153+2,FALSE)</f>
        <v>6.5942649889720747E-2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  <c r="AX231" s="87"/>
      <c r="AY231" s="87"/>
      <c r="AZ231" s="87"/>
      <c r="BA231" s="87"/>
      <c r="BB231" s="87"/>
      <c r="BC231" s="87"/>
      <c r="BD231" s="87"/>
      <c r="BE231" s="87"/>
      <c r="BF231" s="87"/>
    </row>
    <row r="232" spans="1:58" x14ac:dyDescent="0.25">
      <c r="A232" s="94"/>
      <c r="B232" s="20" t="s">
        <v>128</v>
      </c>
      <c r="C232" s="113">
        <f>AC8</f>
        <v>112.33438770314308</v>
      </c>
      <c r="D232" s="84">
        <v>110.06675666226565</v>
      </c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</row>
    <row r="233" spans="1:58" x14ac:dyDescent="0.25">
      <c r="A233" s="20"/>
      <c r="B233" s="20" t="s">
        <v>214</v>
      </c>
      <c r="C233" s="20"/>
      <c r="D233" s="90">
        <f t="shared" ref="D233:G253" si="423">C176</f>
        <v>0</v>
      </c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</row>
    <row r="234" spans="1:58" x14ac:dyDescent="0.25">
      <c r="A234" s="20"/>
      <c r="B234" s="20" t="s">
        <v>107</v>
      </c>
      <c r="C234" s="20"/>
      <c r="D234" s="90">
        <f t="shared" si="423"/>
        <v>0</v>
      </c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86"/>
      <c r="AQ234" s="86"/>
      <c r="AR234" s="86"/>
      <c r="AS234" s="86"/>
      <c r="AT234" s="86"/>
      <c r="AU234" s="86"/>
      <c r="AV234" s="86"/>
      <c r="AW234" s="86"/>
      <c r="AX234" s="86"/>
      <c r="AY234" s="86"/>
      <c r="AZ234" s="86"/>
      <c r="BA234" s="86"/>
      <c r="BB234" s="86"/>
      <c r="BC234" s="86"/>
      <c r="BD234" s="86"/>
      <c r="BE234" s="86"/>
      <c r="BF234" s="86"/>
    </row>
    <row r="235" spans="1:58" x14ac:dyDescent="0.25">
      <c r="A235" s="20"/>
      <c r="B235" s="20" t="s">
        <v>108</v>
      </c>
      <c r="C235" s="20"/>
      <c r="D235" s="90">
        <f t="shared" si="423"/>
        <v>0</v>
      </c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  <c r="AT235" s="86"/>
      <c r="AU235" s="86"/>
      <c r="AV235" s="86"/>
      <c r="AW235" s="86"/>
      <c r="AX235" s="86"/>
      <c r="AY235" s="86"/>
      <c r="AZ235" s="86"/>
      <c r="BA235" s="86"/>
      <c r="BB235" s="86"/>
      <c r="BC235" s="86"/>
      <c r="BD235" s="86"/>
      <c r="BE235" s="86"/>
      <c r="BF235" s="86"/>
    </row>
    <row r="236" spans="1:58" x14ac:dyDescent="0.25">
      <c r="A236" s="20"/>
      <c r="B236" s="20" t="s">
        <v>109</v>
      </c>
      <c r="C236" s="20"/>
      <c r="D236" s="90">
        <f t="shared" si="423"/>
        <v>0</v>
      </c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  <c r="AT236" s="86"/>
      <c r="AU236" s="86"/>
      <c r="AV236" s="86"/>
      <c r="AW236" s="86"/>
      <c r="AX236" s="86"/>
      <c r="AY236" s="86"/>
      <c r="AZ236" s="86"/>
      <c r="BA236" s="86"/>
      <c r="BB236" s="86"/>
      <c r="BC236" s="86"/>
      <c r="BD236" s="86"/>
      <c r="BE236" s="86"/>
      <c r="BF236" s="86"/>
    </row>
    <row r="237" spans="1:58" x14ac:dyDescent="0.25">
      <c r="A237" s="20"/>
      <c r="B237" s="20" t="s">
        <v>110</v>
      </c>
      <c r="C237" s="20"/>
      <c r="D237" s="90">
        <f t="shared" si="423"/>
        <v>0</v>
      </c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  <c r="AT237" s="86"/>
      <c r="AU237" s="86"/>
      <c r="AV237" s="86"/>
      <c r="AW237" s="86"/>
      <c r="AX237" s="86"/>
      <c r="AY237" s="86"/>
      <c r="AZ237" s="86"/>
      <c r="BA237" s="86"/>
      <c r="BB237" s="86"/>
      <c r="BC237" s="86"/>
      <c r="BD237" s="86"/>
      <c r="BE237" s="86"/>
      <c r="BF237" s="86"/>
    </row>
    <row r="238" spans="1:58" x14ac:dyDescent="0.25">
      <c r="A238" s="20"/>
      <c r="B238" s="20" t="s">
        <v>111</v>
      </c>
      <c r="C238" s="20"/>
      <c r="D238" s="90">
        <f t="shared" si="423"/>
        <v>0</v>
      </c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86"/>
      <c r="AQ238" s="86"/>
      <c r="AR238" s="86"/>
      <c r="AS238" s="86"/>
      <c r="AT238" s="86"/>
      <c r="AU238" s="86"/>
      <c r="AV238" s="86"/>
      <c r="AW238" s="86"/>
      <c r="AX238" s="86"/>
      <c r="AY238" s="86"/>
      <c r="AZ238" s="86"/>
      <c r="BA238" s="86"/>
      <c r="BB238" s="86"/>
      <c r="BC238" s="86"/>
      <c r="BD238" s="86"/>
      <c r="BE238" s="86"/>
      <c r="BF238" s="86"/>
    </row>
    <row r="239" spans="1:58" x14ac:dyDescent="0.25">
      <c r="A239" s="20"/>
      <c r="B239" s="20" t="s">
        <v>140</v>
      </c>
      <c r="C239" s="20"/>
      <c r="D239" s="90">
        <f t="shared" si="423"/>
        <v>0</v>
      </c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6"/>
      <c r="AP239" s="86"/>
      <c r="AQ239" s="86"/>
      <c r="AR239" s="86"/>
      <c r="AS239" s="86"/>
      <c r="AT239" s="86"/>
      <c r="AU239" s="86"/>
      <c r="AV239" s="86"/>
      <c r="AW239" s="86"/>
      <c r="AX239" s="86"/>
      <c r="AY239" s="86"/>
      <c r="AZ239" s="86"/>
      <c r="BA239" s="86"/>
      <c r="BB239" s="86"/>
      <c r="BC239" s="86"/>
      <c r="BD239" s="86"/>
      <c r="BE239" s="86"/>
      <c r="BF239" s="86"/>
    </row>
    <row r="240" spans="1:58" x14ac:dyDescent="0.25">
      <c r="A240" s="20"/>
      <c r="B240" s="20" t="s">
        <v>141</v>
      </c>
      <c r="C240" s="20"/>
      <c r="D240" s="90">
        <f t="shared" si="423"/>
        <v>0</v>
      </c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6"/>
      <c r="AP240" s="86"/>
      <c r="AQ240" s="86"/>
      <c r="AR240" s="86"/>
      <c r="AS240" s="86"/>
      <c r="AT240" s="86"/>
      <c r="AU240" s="86"/>
      <c r="AV240" s="86"/>
      <c r="AW240" s="86"/>
      <c r="AX240" s="86"/>
      <c r="AY240" s="86"/>
      <c r="AZ240" s="86"/>
      <c r="BA240" s="86"/>
      <c r="BB240" s="86"/>
      <c r="BC240" s="86"/>
      <c r="BD240" s="86"/>
      <c r="BE240" s="86"/>
      <c r="BF240" s="86"/>
    </row>
    <row r="241" spans="1:58" x14ac:dyDescent="0.25">
      <c r="A241" s="20"/>
      <c r="B241" s="20" t="s">
        <v>142</v>
      </c>
      <c r="C241" s="20"/>
      <c r="D241" s="90">
        <f t="shared" si="423"/>
        <v>0</v>
      </c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  <c r="AO241" s="86"/>
      <c r="AP241" s="86"/>
      <c r="AQ241" s="86"/>
      <c r="AR241" s="86"/>
      <c r="AS241" s="86"/>
      <c r="AT241" s="86"/>
      <c r="AU241" s="86"/>
      <c r="AV241" s="86"/>
      <c r="AW241" s="86"/>
      <c r="AX241" s="86"/>
      <c r="AY241" s="86"/>
      <c r="AZ241" s="86"/>
      <c r="BA241" s="86"/>
      <c r="BB241" s="86"/>
      <c r="BC241" s="86"/>
      <c r="BD241" s="86"/>
      <c r="BE241" s="86"/>
      <c r="BF241" s="86"/>
    </row>
    <row r="242" spans="1:58" x14ac:dyDescent="0.25">
      <c r="A242" s="20"/>
      <c r="B242" s="20" t="s">
        <v>143</v>
      </c>
      <c r="C242" s="20"/>
      <c r="D242" s="90">
        <f t="shared" si="423"/>
        <v>0</v>
      </c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6"/>
      <c r="AP242" s="86"/>
      <c r="AQ242" s="86"/>
      <c r="AR242" s="86"/>
      <c r="AS242" s="86"/>
      <c r="AT242" s="86"/>
      <c r="AU242" s="86"/>
      <c r="AV242" s="86"/>
      <c r="AW242" s="86"/>
      <c r="AX242" s="86"/>
      <c r="AY242" s="86"/>
      <c r="AZ242" s="86"/>
      <c r="BA242" s="86"/>
      <c r="BB242" s="86"/>
      <c r="BC242" s="86"/>
      <c r="BD242" s="86"/>
      <c r="BE242" s="86"/>
      <c r="BF242" s="86"/>
    </row>
    <row r="243" spans="1:58" x14ac:dyDescent="0.25">
      <c r="A243" s="20"/>
      <c r="B243" s="20" t="s">
        <v>144</v>
      </c>
      <c r="C243" s="20"/>
      <c r="D243" s="90">
        <f t="shared" si="423"/>
        <v>0</v>
      </c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6"/>
      <c r="AP243" s="86"/>
      <c r="AQ243" s="86"/>
      <c r="AR243" s="86"/>
      <c r="AS243" s="86"/>
      <c r="AT243" s="86"/>
      <c r="AU243" s="86"/>
      <c r="AV243" s="86"/>
      <c r="AW243" s="86"/>
      <c r="AX243" s="86"/>
      <c r="AY243" s="86"/>
      <c r="AZ243" s="86"/>
      <c r="BA243" s="86"/>
      <c r="BB243" s="86"/>
      <c r="BC243" s="86"/>
      <c r="BD243" s="86"/>
      <c r="BE243" s="86"/>
      <c r="BF243" s="86"/>
    </row>
    <row r="244" spans="1:58" x14ac:dyDescent="0.25">
      <c r="A244" s="20"/>
      <c r="B244" s="20" t="s">
        <v>56</v>
      </c>
      <c r="C244" s="20"/>
      <c r="D244" s="85">
        <f t="shared" si="423"/>
        <v>1.5079941860465477E-3</v>
      </c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  <c r="AF244" s="85"/>
      <c r="AG244" s="85"/>
      <c r="AH244" s="85"/>
      <c r="AI244" s="85"/>
      <c r="AJ244" s="85"/>
      <c r="AK244" s="85"/>
      <c r="AL244" s="85"/>
      <c r="AM244" s="85"/>
      <c r="AN244" s="85"/>
      <c r="AO244" s="85"/>
      <c r="AP244" s="85"/>
      <c r="AQ244" s="85"/>
      <c r="AR244" s="85"/>
      <c r="AS244" s="85"/>
      <c r="AT244" s="85"/>
      <c r="AU244" s="85"/>
      <c r="AV244" s="85"/>
      <c r="AW244" s="85"/>
      <c r="AX244" s="85"/>
      <c r="AY244" s="85"/>
      <c r="AZ244" s="85"/>
      <c r="BA244" s="85"/>
      <c r="BB244" s="85"/>
      <c r="BC244" s="85"/>
      <c r="BD244" s="85"/>
      <c r="BE244" s="85"/>
      <c r="BF244" s="85"/>
    </row>
    <row r="245" spans="1:58" x14ac:dyDescent="0.25">
      <c r="A245" s="20"/>
      <c r="B245" s="20" t="s">
        <v>57</v>
      </c>
      <c r="C245" s="20"/>
      <c r="D245" s="85">
        <f t="shared" si="423"/>
        <v>3.4338662790698031E-3</v>
      </c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  <c r="AF245" s="85"/>
      <c r="AG245" s="85"/>
      <c r="AH245" s="85"/>
      <c r="AI245" s="85"/>
      <c r="AJ245" s="85"/>
      <c r="AK245" s="85"/>
      <c r="AL245" s="85"/>
      <c r="AM245" s="85"/>
      <c r="AN245" s="85"/>
      <c r="AO245" s="85"/>
      <c r="AP245" s="85"/>
      <c r="AQ245" s="85"/>
      <c r="AR245" s="85"/>
      <c r="AS245" s="85"/>
      <c r="AT245" s="85"/>
      <c r="AU245" s="85"/>
      <c r="AV245" s="85"/>
      <c r="AW245" s="85"/>
      <c r="AX245" s="85"/>
      <c r="AY245" s="85"/>
      <c r="AZ245" s="85"/>
      <c r="BA245" s="85"/>
      <c r="BB245" s="85"/>
      <c r="BC245" s="85"/>
      <c r="BD245" s="85"/>
      <c r="BE245" s="85"/>
      <c r="BF245" s="85"/>
    </row>
    <row r="246" spans="1:58" x14ac:dyDescent="0.25">
      <c r="A246" s="20"/>
      <c r="B246" s="20" t="s">
        <v>58</v>
      </c>
      <c r="C246" s="20"/>
      <c r="D246" s="85">
        <f t="shared" si="423"/>
        <v>1.236430323401177E-2</v>
      </c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  <c r="AF246" s="85"/>
      <c r="AG246" s="85"/>
      <c r="AH246" s="85"/>
      <c r="AI246" s="85"/>
      <c r="AJ246" s="85"/>
      <c r="AK246" s="85"/>
      <c r="AL246" s="85"/>
      <c r="AM246" s="85"/>
      <c r="AN246" s="85"/>
      <c r="AO246" s="85"/>
      <c r="AP246" s="85"/>
      <c r="AQ246" s="85"/>
      <c r="AR246" s="85"/>
      <c r="AS246" s="85"/>
      <c r="AT246" s="85"/>
      <c r="AU246" s="85"/>
      <c r="AV246" s="85"/>
      <c r="AW246" s="85"/>
      <c r="AX246" s="85"/>
      <c r="AY246" s="85"/>
      <c r="AZ246" s="85"/>
      <c r="BA246" s="85"/>
      <c r="BB246" s="85"/>
      <c r="BC246" s="85"/>
      <c r="BD246" s="85"/>
      <c r="BE246" s="85"/>
      <c r="BF246" s="85"/>
    </row>
    <row r="247" spans="1:58" x14ac:dyDescent="0.25">
      <c r="A247" s="20"/>
      <c r="B247" s="20" t="s">
        <v>59</v>
      </c>
      <c r="C247" s="20"/>
      <c r="D247" s="85">
        <f t="shared" si="423"/>
        <v>0.34349463078043851</v>
      </c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  <c r="AF247" s="85"/>
      <c r="AG247" s="85"/>
      <c r="AH247" s="85"/>
      <c r="AI247" s="85"/>
      <c r="AJ247" s="85"/>
      <c r="AK247" s="85"/>
      <c r="AL247" s="85"/>
      <c r="AM247" s="85"/>
      <c r="AN247" s="85"/>
      <c r="AO247" s="85"/>
      <c r="AP247" s="85"/>
      <c r="AQ247" s="85"/>
      <c r="AR247" s="85"/>
      <c r="AS247" s="85"/>
      <c r="AT247" s="85"/>
      <c r="AU247" s="85"/>
      <c r="AV247" s="85"/>
      <c r="AW247" s="85"/>
      <c r="AX247" s="85"/>
      <c r="AY247" s="85"/>
      <c r="AZ247" s="85"/>
      <c r="BA247" s="85"/>
      <c r="BB247" s="85"/>
      <c r="BC247" s="85"/>
      <c r="BD247" s="85"/>
      <c r="BE247" s="85"/>
      <c r="BF247" s="85"/>
    </row>
    <row r="248" spans="1:58" x14ac:dyDescent="0.25">
      <c r="A248" s="20"/>
      <c r="B248" s="20" t="s">
        <v>60</v>
      </c>
      <c r="C248" s="20"/>
      <c r="D248" s="85">
        <f t="shared" si="423"/>
        <v>0.6391992055204333</v>
      </c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  <c r="AF248" s="85"/>
      <c r="AG248" s="85"/>
      <c r="AH248" s="85"/>
      <c r="AI248" s="85"/>
      <c r="AJ248" s="85"/>
      <c r="AK248" s="85"/>
      <c r="AL248" s="85"/>
      <c r="AM248" s="85"/>
      <c r="AN248" s="85"/>
      <c r="AO248" s="85"/>
      <c r="AP248" s="85"/>
      <c r="AQ248" s="85"/>
      <c r="AR248" s="85"/>
      <c r="AS248" s="85"/>
      <c r="AT248" s="85"/>
      <c r="AU248" s="85"/>
      <c r="AV248" s="85"/>
      <c r="AW248" s="85"/>
      <c r="AX248" s="85"/>
      <c r="AY248" s="85"/>
      <c r="AZ248" s="85"/>
      <c r="BA248" s="85"/>
      <c r="BB248" s="85"/>
      <c r="BC248" s="85"/>
      <c r="BD248" s="85"/>
      <c r="BE248" s="85"/>
      <c r="BF248" s="85"/>
    </row>
    <row r="249" spans="1:58" x14ac:dyDescent="0.25">
      <c r="A249" s="20"/>
      <c r="B249" s="20" t="s">
        <v>61</v>
      </c>
      <c r="C249" s="20"/>
      <c r="D249" s="85">
        <f t="shared" si="423"/>
        <v>0</v>
      </c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  <c r="AF249" s="85"/>
      <c r="AG249" s="85"/>
      <c r="AH249" s="85"/>
      <c r="AI249" s="85"/>
      <c r="AJ249" s="85"/>
      <c r="AK249" s="85"/>
      <c r="AL249" s="85"/>
      <c r="AM249" s="85"/>
      <c r="AN249" s="85"/>
      <c r="AO249" s="85"/>
      <c r="AP249" s="85"/>
      <c r="AQ249" s="85"/>
      <c r="AR249" s="85"/>
      <c r="AS249" s="85"/>
      <c r="AT249" s="85"/>
      <c r="AU249" s="85"/>
      <c r="AV249" s="85"/>
      <c r="AW249" s="85"/>
      <c r="AX249" s="85"/>
      <c r="AY249" s="85"/>
      <c r="AZ249" s="85"/>
      <c r="BA249" s="85"/>
      <c r="BB249" s="85"/>
      <c r="BC249" s="85"/>
      <c r="BD249" s="85"/>
      <c r="BE249" s="85"/>
      <c r="BF249" s="85"/>
    </row>
    <row r="250" spans="1:58" x14ac:dyDescent="0.25">
      <c r="A250" s="20"/>
      <c r="B250" s="20" t="s">
        <v>62</v>
      </c>
      <c r="C250" s="20"/>
      <c r="D250" s="85">
        <f t="shared" si="423"/>
        <v>0</v>
      </c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  <c r="AF250" s="85"/>
      <c r="AG250" s="85"/>
      <c r="AH250" s="85"/>
      <c r="AI250" s="85"/>
      <c r="AJ250" s="85"/>
      <c r="AK250" s="85"/>
      <c r="AL250" s="85"/>
      <c r="AM250" s="85"/>
      <c r="AN250" s="85"/>
      <c r="AO250" s="85"/>
      <c r="AP250" s="85"/>
      <c r="AQ250" s="85"/>
      <c r="AR250" s="85"/>
      <c r="AS250" s="85"/>
      <c r="AT250" s="85"/>
      <c r="AU250" s="85"/>
      <c r="AV250" s="85"/>
      <c r="AW250" s="85"/>
      <c r="AX250" s="85"/>
      <c r="AY250" s="85"/>
      <c r="AZ250" s="85"/>
      <c r="BA250" s="85"/>
      <c r="BB250" s="85"/>
      <c r="BC250" s="85"/>
      <c r="BD250" s="85"/>
      <c r="BE250" s="85"/>
      <c r="BF250" s="85"/>
    </row>
    <row r="251" spans="1:58" x14ac:dyDescent="0.25">
      <c r="A251" s="20"/>
      <c r="B251" s="20" t="s">
        <v>63</v>
      </c>
      <c r="C251" s="20"/>
      <c r="D251" s="85">
        <f t="shared" si="423"/>
        <v>0</v>
      </c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  <c r="AF251" s="85"/>
      <c r="AG251" s="85"/>
      <c r="AH251" s="85"/>
      <c r="AI251" s="85"/>
      <c r="AJ251" s="85"/>
      <c r="AK251" s="85"/>
      <c r="AL251" s="85"/>
      <c r="AM251" s="85"/>
      <c r="AN251" s="85"/>
      <c r="AO251" s="85"/>
      <c r="AP251" s="85"/>
      <c r="AQ251" s="85"/>
      <c r="AR251" s="85"/>
      <c r="AS251" s="85"/>
      <c r="AT251" s="85"/>
      <c r="AU251" s="85"/>
      <c r="AV251" s="85"/>
      <c r="AW251" s="85"/>
      <c r="AX251" s="85"/>
      <c r="AY251" s="85"/>
      <c r="AZ251" s="85"/>
      <c r="BA251" s="85"/>
      <c r="BB251" s="85"/>
      <c r="BC251" s="85"/>
      <c r="BD251" s="85"/>
      <c r="BE251" s="85"/>
      <c r="BF251" s="85"/>
    </row>
    <row r="252" spans="1:58" x14ac:dyDescent="0.25">
      <c r="A252" s="20"/>
      <c r="B252" s="20" t="s">
        <v>64</v>
      </c>
      <c r="C252" s="20"/>
      <c r="D252" s="85">
        <f t="shared" si="423"/>
        <v>0</v>
      </c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  <c r="AF252" s="85"/>
      <c r="AG252" s="85"/>
      <c r="AH252" s="85"/>
      <c r="AI252" s="85"/>
      <c r="AJ252" s="85"/>
      <c r="AK252" s="85"/>
      <c r="AL252" s="85"/>
      <c r="AM252" s="85"/>
      <c r="AN252" s="85"/>
      <c r="AO252" s="85"/>
      <c r="AP252" s="85"/>
      <c r="AQ252" s="85"/>
      <c r="AR252" s="85"/>
      <c r="AS252" s="85"/>
      <c r="AT252" s="85"/>
      <c r="AU252" s="85"/>
      <c r="AV252" s="85"/>
      <c r="AW252" s="85"/>
      <c r="AX252" s="85"/>
      <c r="AY252" s="85"/>
      <c r="AZ252" s="85"/>
      <c r="BA252" s="85"/>
      <c r="BB252" s="85"/>
      <c r="BC252" s="85"/>
      <c r="BD252" s="85"/>
      <c r="BE252" s="85"/>
      <c r="BF252" s="85"/>
    </row>
    <row r="253" spans="1:58" x14ac:dyDescent="0.25">
      <c r="A253" s="20"/>
      <c r="B253" s="20" t="s">
        <v>65</v>
      </c>
      <c r="C253" s="20"/>
      <c r="D253" s="85">
        <f t="shared" si="423"/>
        <v>0</v>
      </c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  <c r="AF253" s="85"/>
      <c r="AG253" s="85"/>
      <c r="AH253" s="85"/>
      <c r="AI253" s="85"/>
      <c r="AJ253" s="85"/>
      <c r="AK253" s="85"/>
      <c r="AL253" s="85"/>
      <c r="AM253" s="85"/>
      <c r="AN253" s="85"/>
      <c r="AO253" s="85"/>
      <c r="AP253" s="85"/>
      <c r="AQ253" s="85"/>
      <c r="AR253" s="85"/>
      <c r="AS253" s="85"/>
      <c r="AT253" s="85"/>
      <c r="AU253" s="85"/>
      <c r="AV253" s="85"/>
      <c r="AW253" s="85"/>
      <c r="AX253" s="85"/>
      <c r="AY253" s="85"/>
      <c r="AZ253" s="85"/>
      <c r="BA253" s="85"/>
      <c r="BB253" s="85"/>
      <c r="BC253" s="85"/>
      <c r="BD253" s="85"/>
      <c r="BE253" s="85"/>
      <c r="BF253" s="85"/>
    </row>
    <row r="254" spans="1:58" x14ac:dyDescent="0.25">
      <c r="A254" s="159" t="s">
        <v>210</v>
      </c>
      <c r="B254" s="91" t="s">
        <v>200</v>
      </c>
      <c r="C254" s="113">
        <f t="shared" ref="C254:C263" si="424">AF10</f>
        <v>8.9024903593311715E-3</v>
      </c>
      <c r="D254" s="95">
        <f t="shared" ref="D254" si="425">D197*D187</f>
        <v>3.8338360711186951E-2</v>
      </c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  <c r="AC254" s="95"/>
      <c r="AD254" s="95"/>
      <c r="AE254" s="95"/>
      <c r="AF254" s="95"/>
      <c r="AG254" s="95"/>
      <c r="AH254" s="95"/>
      <c r="AI254" s="95"/>
      <c r="AJ254" s="95"/>
      <c r="AK254" s="95"/>
      <c r="AL254" s="95"/>
      <c r="AM254" s="95"/>
      <c r="AN254" s="95"/>
      <c r="AO254" s="95"/>
      <c r="AP254" s="95"/>
      <c r="AQ254" s="95"/>
      <c r="AR254" s="95"/>
      <c r="AS254" s="95"/>
      <c r="AT254" s="95"/>
      <c r="AU254" s="95"/>
      <c r="AV254" s="95"/>
      <c r="AW254" s="95"/>
      <c r="AX254" s="95"/>
      <c r="AY254" s="95"/>
      <c r="AZ254" s="95"/>
      <c r="BA254" s="95"/>
      <c r="BB254" s="95"/>
      <c r="BC254" s="95"/>
      <c r="BD254" s="95"/>
      <c r="BE254" s="95"/>
      <c r="BF254" s="95"/>
    </row>
    <row r="255" spans="1:58" x14ac:dyDescent="0.25">
      <c r="A255" s="160"/>
      <c r="B255" s="92" t="s">
        <v>201</v>
      </c>
      <c r="C255" s="113">
        <f t="shared" si="424"/>
        <v>9.4745781033952862E-3</v>
      </c>
      <c r="D255" s="95">
        <f t="shared" ref="D255:D263" si="426">D198*D188</f>
        <v>2.0425386762137985E-2</v>
      </c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  <c r="AC255" s="95"/>
      <c r="AD255" s="95"/>
      <c r="AE255" s="95"/>
      <c r="AF255" s="95"/>
      <c r="AG255" s="95"/>
      <c r="AH255" s="95"/>
      <c r="AI255" s="95"/>
      <c r="AJ255" s="95"/>
      <c r="AK255" s="95"/>
      <c r="AL255" s="95"/>
      <c r="AM255" s="95"/>
      <c r="AN255" s="95"/>
      <c r="AO255" s="95"/>
      <c r="AP255" s="95"/>
      <c r="AQ255" s="95"/>
      <c r="AR255" s="95"/>
      <c r="AS255" s="95"/>
      <c r="AT255" s="95"/>
      <c r="AU255" s="95"/>
      <c r="AV255" s="95"/>
      <c r="AW255" s="95"/>
      <c r="AX255" s="95"/>
      <c r="AY255" s="95"/>
      <c r="AZ255" s="95"/>
      <c r="BA255" s="95"/>
      <c r="BB255" s="95"/>
      <c r="BC255" s="95"/>
      <c r="BD255" s="95"/>
      <c r="BE255" s="95"/>
      <c r="BF255" s="95"/>
    </row>
    <row r="256" spans="1:58" x14ac:dyDescent="0.25">
      <c r="A256" s="160"/>
      <c r="B256" s="92" t="s">
        <v>202</v>
      </c>
      <c r="C256" s="113">
        <f t="shared" si="424"/>
        <v>2.455631838324189E-2</v>
      </c>
      <c r="D256" s="95">
        <f t="shared" si="426"/>
        <v>3.9968323498374848E-2</v>
      </c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  <c r="AC256" s="95"/>
      <c r="AD256" s="95"/>
      <c r="AE256" s="95"/>
      <c r="AF256" s="95"/>
      <c r="AG256" s="95"/>
      <c r="AH256" s="95"/>
      <c r="AI256" s="95"/>
      <c r="AJ256" s="95"/>
      <c r="AK256" s="95"/>
      <c r="AL256" s="95"/>
      <c r="AM256" s="95"/>
      <c r="AN256" s="95"/>
      <c r="AO256" s="95"/>
      <c r="AP256" s="95"/>
      <c r="AQ256" s="95"/>
      <c r="AR256" s="95"/>
      <c r="AS256" s="95"/>
      <c r="AT256" s="95"/>
      <c r="AU256" s="95"/>
      <c r="AV256" s="95"/>
      <c r="AW256" s="95"/>
      <c r="AX256" s="95"/>
      <c r="AY256" s="95"/>
      <c r="AZ256" s="95"/>
      <c r="BA256" s="95"/>
      <c r="BB256" s="95"/>
      <c r="BC256" s="95"/>
      <c r="BD256" s="95"/>
      <c r="BE256" s="95"/>
      <c r="BF256" s="95"/>
    </row>
    <row r="257" spans="1:58" x14ac:dyDescent="0.25">
      <c r="A257" s="160"/>
      <c r="B257" s="92" t="s">
        <v>203</v>
      </c>
      <c r="C257" s="113">
        <f t="shared" si="424"/>
        <v>0.3723890141556136</v>
      </c>
      <c r="D257" s="95">
        <f t="shared" si="426"/>
        <v>0.37710294623004448</v>
      </c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  <c r="AC257" s="95"/>
      <c r="AD257" s="95"/>
      <c r="AE257" s="95"/>
      <c r="AF257" s="95"/>
      <c r="AG257" s="95"/>
      <c r="AH257" s="95"/>
      <c r="AI257" s="95"/>
      <c r="AJ257" s="95"/>
      <c r="AK257" s="95"/>
      <c r="AL257" s="95"/>
      <c r="AM257" s="95"/>
      <c r="AN257" s="95"/>
      <c r="AO257" s="95"/>
      <c r="AP257" s="95"/>
      <c r="AQ257" s="95"/>
      <c r="AR257" s="95"/>
      <c r="AS257" s="95"/>
      <c r="AT257" s="95"/>
      <c r="AU257" s="95"/>
      <c r="AV257" s="95"/>
      <c r="AW257" s="95"/>
      <c r="AX257" s="95"/>
      <c r="AY257" s="95"/>
      <c r="AZ257" s="95"/>
      <c r="BA257" s="95"/>
      <c r="BB257" s="95"/>
      <c r="BC257" s="95"/>
      <c r="BD257" s="95"/>
      <c r="BE257" s="95"/>
      <c r="BF257" s="95"/>
    </row>
    <row r="258" spans="1:58" x14ac:dyDescent="0.25">
      <c r="A258" s="160"/>
      <c r="B258" s="92" t="s">
        <v>204</v>
      </c>
      <c r="C258" s="113">
        <f t="shared" si="424"/>
        <v>0.58467759899842187</v>
      </c>
      <c r="D258" s="95">
        <f t="shared" si="426"/>
        <v>0.52416508877445112</v>
      </c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  <c r="AC258" s="95"/>
      <c r="AD258" s="95"/>
      <c r="AE258" s="95"/>
      <c r="AF258" s="95"/>
      <c r="AG258" s="95"/>
      <c r="AH258" s="95"/>
      <c r="AI258" s="95"/>
      <c r="AJ258" s="95"/>
      <c r="AK258" s="95"/>
      <c r="AL258" s="95"/>
      <c r="AM258" s="95"/>
      <c r="AN258" s="95"/>
      <c r="AO258" s="95"/>
      <c r="AP258" s="95"/>
      <c r="AQ258" s="95"/>
      <c r="AR258" s="95"/>
      <c r="AS258" s="95"/>
      <c r="AT258" s="95"/>
      <c r="AU258" s="95"/>
      <c r="AV258" s="95"/>
      <c r="AW258" s="95"/>
      <c r="AX258" s="95"/>
      <c r="AY258" s="95"/>
      <c r="AZ258" s="95"/>
      <c r="BA258" s="95"/>
      <c r="BB258" s="95"/>
      <c r="BC258" s="95"/>
      <c r="BD258" s="95"/>
      <c r="BE258" s="95"/>
      <c r="BF258" s="95"/>
    </row>
    <row r="259" spans="1:58" x14ac:dyDescent="0.25">
      <c r="A259" s="160"/>
      <c r="B259" s="92" t="s">
        <v>205</v>
      </c>
      <c r="C259" s="113">
        <f t="shared" si="424"/>
        <v>0</v>
      </c>
      <c r="D259" s="95">
        <f t="shared" si="426"/>
        <v>0</v>
      </c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  <c r="AC259" s="95"/>
      <c r="AD259" s="95"/>
      <c r="AE259" s="95"/>
      <c r="AF259" s="95"/>
      <c r="AG259" s="95"/>
      <c r="AH259" s="95"/>
      <c r="AI259" s="95"/>
      <c r="AJ259" s="95"/>
      <c r="AK259" s="95"/>
      <c r="AL259" s="95"/>
      <c r="AM259" s="95"/>
      <c r="AN259" s="95"/>
      <c r="AO259" s="95"/>
      <c r="AP259" s="95"/>
      <c r="AQ259" s="95"/>
      <c r="AR259" s="95"/>
      <c r="AS259" s="95"/>
      <c r="AT259" s="95"/>
      <c r="AU259" s="95"/>
      <c r="AV259" s="95"/>
      <c r="AW259" s="95"/>
      <c r="AX259" s="95"/>
      <c r="AY259" s="95"/>
      <c r="AZ259" s="95"/>
      <c r="BA259" s="95"/>
      <c r="BB259" s="95"/>
      <c r="BC259" s="95"/>
      <c r="BD259" s="95"/>
      <c r="BE259" s="95"/>
      <c r="BF259" s="95"/>
    </row>
    <row r="260" spans="1:58" x14ac:dyDescent="0.25">
      <c r="A260" s="160"/>
      <c r="B260" s="92" t="s">
        <v>206</v>
      </c>
      <c r="C260" s="113">
        <f t="shared" si="424"/>
        <v>0</v>
      </c>
      <c r="D260" s="95">
        <f t="shared" si="426"/>
        <v>0</v>
      </c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  <c r="AC260" s="95"/>
      <c r="AD260" s="95"/>
      <c r="AE260" s="95"/>
      <c r="AF260" s="95"/>
      <c r="AG260" s="95"/>
      <c r="AH260" s="95"/>
      <c r="AI260" s="95"/>
      <c r="AJ260" s="95"/>
      <c r="AK260" s="95"/>
      <c r="AL260" s="95"/>
      <c r="AM260" s="95"/>
      <c r="AN260" s="95"/>
      <c r="AO260" s="95"/>
      <c r="AP260" s="95"/>
      <c r="AQ260" s="95"/>
      <c r="AR260" s="95"/>
      <c r="AS260" s="95"/>
      <c r="AT260" s="95"/>
      <c r="AU260" s="95"/>
      <c r="AV260" s="95"/>
      <c r="AW260" s="95"/>
      <c r="AX260" s="95"/>
      <c r="AY260" s="95"/>
      <c r="AZ260" s="95"/>
      <c r="BA260" s="95"/>
      <c r="BB260" s="95"/>
      <c r="BC260" s="95"/>
      <c r="BD260" s="95"/>
      <c r="BE260" s="95"/>
      <c r="BF260" s="95"/>
    </row>
    <row r="261" spans="1:58" x14ac:dyDescent="0.25">
      <c r="A261" s="160"/>
      <c r="B261" s="92" t="s">
        <v>207</v>
      </c>
      <c r="C261" s="113">
        <f t="shared" si="424"/>
        <v>0</v>
      </c>
      <c r="D261" s="95">
        <f t="shared" si="426"/>
        <v>0</v>
      </c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  <c r="AC261" s="95"/>
      <c r="AD261" s="95"/>
      <c r="AE261" s="95"/>
      <c r="AF261" s="95"/>
      <c r="AG261" s="95"/>
      <c r="AH261" s="95"/>
      <c r="AI261" s="95"/>
      <c r="AJ261" s="95"/>
      <c r="AK261" s="95"/>
      <c r="AL261" s="95"/>
      <c r="AM261" s="95"/>
      <c r="AN261" s="95"/>
      <c r="AO261" s="95"/>
      <c r="AP261" s="95"/>
      <c r="AQ261" s="95"/>
      <c r="AR261" s="95"/>
      <c r="AS261" s="95"/>
      <c r="AT261" s="95"/>
      <c r="AU261" s="95"/>
      <c r="AV261" s="95"/>
      <c r="AW261" s="95"/>
      <c r="AX261" s="95"/>
      <c r="AY261" s="95"/>
      <c r="AZ261" s="95"/>
      <c r="BA261" s="95"/>
      <c r="BB261" s="95"/>
      <c r="BC261" s="95"/>
      <c r="BD261" s="95"/>
      <c r="BE261" s="95"/>
      <c r="BF261" s="95"/>
    </row>
    <row r="262" spans="1:58" x14ac:dyDescent="0.25">
      <c r="A262" s="160"/>
      <c r="B262" s="92" t="s">
        <v>208</v>
      </c>
      <c r="C262" s="113">
        <f t="shared" si="424"/>
        <v>0</v>
      </c>
      <c r="D262" s="95">
        <f t="shared" si="426"/>
        <v>0</v>
      </c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  <c r="AC262" s="95"/>
      <c r="AD262" s="95"/>
      <c r="AE262" s="95"/>
      <c r="AF262" s="95"/>
      <c r="AG262" s="95"/>
      <c r="AH262" s="95"/>
      <c r="AI262" s="95"/>
      <c r="AJ262" s="95"/>
      <c r="AK262" s="95"/>
      <c r="AL262" s="95"/>
      <c r="AM262" s="95"/>
      <c r="AN262" s="95"/>
      <c r="AO262" s="95"/>
      <c r="AP262" s="95"/>
      <c r="AQ262" s="95"/>
      <c r="AR262" s="95"/>
      <c r="AS262" s="95"/>
      <c r="AT262" s="95"/>
      <c r="AU262" s="95"/>
      <c r="AV262" s="95"/>
      <c r="AW262" s="95"/>
      <c r="AX262" s="95"/>
      <c r="AY262" s="95"/>
      <c r="AZ262" s="95"/>
      <c r="BA262" s="95"/>
      <c r="BB262" s="95"/>
      <c r="BC262" s="95"/>
      <c r="BD262" s="95"/>
      <c r="BE262" s="95"/>
      <c r="BF262" s="95"/>
    </row>
    <row r="263" spans="1:58" x14ac:dyDescent="0.25">
      <c r="A263" s="161"/>
      <c r="B263" s="93" t="s">
        <v>209</v>
      </c>
      <c r="C263" s="113">
        <f t="shared" si="424"/>
        <v>0</v>
      </c>
      <c r="D263" s="95">
        <f t="shared" si="426"/>
        <v>0</v>
      </c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  <c r="AC263" s="95"/>
      <c r="AD263" s="95"/>
      <c r="AE263" s="95"/>
      <c r="AF263" s="95"/>
      <c r="AG263" s="95"/>
      <c r="AH263" s="95"/>
      <c r="AI263" s="95"/>
      <c r="AJ263" s="95"/>
      <c r="AK263" s="95"/>
      <c r="AL263" s="95"/>
      <c r="AM263" s="95"/>
      <c r="AN263" s="95"/>
      <c r="AO263" s="95"/>
      <c r="AP263" s="95"/>
      <c r="AQ263" s="95"/>
      <c r="AR263" s="95"/>
      <c r="AS263" s="95"/>
      <c r="AT263" s="95"/>
      <c r="AU263" s="95"/>
      <c r="AV263" s="95"/>
      <c r="AW263" s="95"/>
      <c r="AX263" s="95"/>
      <c r="AY263" s="95"/>
      <c r="AZ263" s="95"/>
      <c r="BA263" s="95"/>
      <c r="BB263" s="95"/>
      <c r="BC263" s="95"/>
      <c r="BD263" s="95"/>
      <c r="BE263" s="95"/>
      <c r="BF263" s="95"/>
    </row>
    <row r="264" spans="1:58" x14ac:dyDescent="0.25">
      <c r="A264" s="20"/>
      <c r="B264" s="20" t="s">
        <v>190</v>
      </c>
      <c r="C264" s="20"/>
      <c r="D264" s="96">
        <f t="shared" ref="D264" si="427">SUM(D254:D263)</f>
        <v>1.0000001059761954</v>
      </c>
      <c r="E264" s="96"/>
      <c r="F264" s="96"/>
      <c r="G264" s="96"/>
      <c r="H264" s="96"/>
      <c r="I264" s="96"/>
      <c r="J264" s="96"/>
      <c r="K264" s="96"/>
      <c r="L264" s="96"/>
      <c r="M264" s="96"/>
      <c r="N264" s="96"/>
      <c r="O264" s="96"/>
      <c r="P264" s="96"/>
      <c r="Q264" s="96"/>
      <c r="R264" s="96"/>
      <c r="S264" s="96"/>
      <c r="T264" s="96"/>
      <c r="U264" s="96"/>
      <c r="V264" s="96"/>
      <c r="W264" s="96"/>
      <c r="X264" s="96"/>
      <c r="Y264" s="96"/>
      <c r="Z264" s="96"/>
      <c r="AA264" s="96"/>
      <c r="AB264" s="96"/>
      <c r="AC264" s="96"/>
      <c r="AD264" s="96"/>
      <c r="AE264" s="96"/>
      <c r="AF264" s="96"/>
      <c r="AG264" s="96"/>
      <c r="AH264" s="96"/>
      <c r="AI264" s="96"/>
      <c r="AJ264" s="96"/>
      <c r="AK264" s="96"/>
      <c r="AL264" s="96"/>
      <c r="AM264" s="96"/>
      <c r="AN264" s="96"/>
      <c r="AO264" s="96"/>
      <c r="AP264" s="96"/>
      <c r="AQ264" s="96"/>
      <c r="AR264" s="96"/>
      <c r="AS264" s="96"/>
      <c r="AT264" s="96"/>
      <c r="AU264" s="96"/>
      <c r="AV264" s="96"/>
      <c r="AW264" s="96"/>
      <c r="AX264" s="96"/>
      <c r="AY264" s="96"/>
      <c r="AZ264" s="96"/>
      <c r="BA264" s="96"/>
      <c r="BB264" s="96"/>
      <c r="BC264" s="96"/>
      <c r="BD264" s="96"/>
      <c r="BE264" s="96"/>
      <c r="BF264" s="96"/>
    </row>
    <row r="265" spans="1:58" x14ac:dyDescent="0.25">
      <c r="A265" s="20"/>
      <c r="B265" s="20">
        <v>19</v>
      </c>
      <c r="C265" s="20">
        <v>14</v>
      </c>
      <c r="D265" s="20">
        <v>1</v>
      </c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  <c r="BC265" s="20"/>
      <c r="BD265" s="20"/>
      <c r="BE265" s="20"/>
      <c r="BF265" s="20"/>
    </row>
    <row r="266" spans="1:58" x14ac:dyDescent="0.25">
      <c r="A266" s="20">
        <v>1</v>
      </c>
      <c r="B266" s="142">
        <f>A39</f>
        <v>9</v>
      </c>
      <c r="C266" s="142">
        <f>A153</f>
        <v>1</v>
      </c>
      <c r="D266" s="20">
        <v>2</v>
      </c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</row>
    <row r="267" spans="1:58" x14ac:dyDescent="0.25">
      <c r="A267" s="20">
        <v>2</v>
      </c>
      <c r="B267" s="142">
        <f>IF(ISERROR(IF(B266-1&lt;1,"",B266-1))=TRUE,"",(IF(B266-1&lt;1,"",B266-1)))</f>
        <v>8</v>
      </c>
      <c r="C267" s="142" t="str">
        <f>IF(ISERROR(IF(C266-1&lt;1,"",C266-1))=TRUE,"",(IF(C266-1&lt;1,"",C266-1)))</f>
        <v/>
      </c>
      <c r="D267" s="20">
        <v>3</v>
      </c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  <c r="BC267" s="20"/>
      <c r="BD267" s="20"/>
      <c r="BE267" s="20"/>
      <c r="BF267" s="20"/>
    </row>
    <row r="268" spans="1:58" x14ac:dyDescent="0.25">
      <c r="A268" s="20">
        <v>3</v>
      </c>
      <c r="B268" s="142">
        <f t="shared" ref="B268:B331" si="428">IF(ISERROR(IF(B267-1&lt;1,"",B267-1))=TRUE,"",(IF(B267-1&lt;1,"",B267-1)))</f>
        <v>7</v>
      </c>
      <c r="C268" s="142" t="str">
        <f t="shared" ref="C268:C331" si="429">IF(ISERROR(IF(C267-1&lt;1,"",C267-1))=TRUE,"",(IF(C267-1&lt;1,"",C267-1)))</f>
        <v/>
      </c>
      <c r="D268" s="20">
        <v>4</v>
      </c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</row>
    <row r="269" spans="1:58" x14ac:dyDescent="0.25">
      <c r="A269" s="20">
        <v>4</v>
      </c>
      <c r="B269" s="142">
        <f t="shared" si="428"/>
        <v>6</v>
      </c>
      <c r="C269" s="142" t="str">
        <f t="shared" si="429"/>
        <v/>
      </c>
      <c r="D269" s="20">
        <v>5</v>
      </c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0"/>
      <c r="BC269" s="20"/>
      <c r="BD269" s="20"/>
      <c r="BE269" s="20"/>
      <c r="BF269" s="20"/>
    </row>
    <row r="270" spans="1:58" x14ac:dyDescent="0.25">
      <c r="A270" s="20">
        <v>5</v>
      </c>
      <c r="B270" s="142">
        <f t="shared" si="428"/>
        <v>5</v>
      </c>
      <c r="C270" s="142" t="str">
        <f t="shared" si="429"/>
        <v/>
      </c>
      <c r="D270" s="20">
        <v>6</v>
      </c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</row>
    <row r="271" spans="1:58" x14ac:dyDescent="0.25">
      <c r="A271" s="20">
        <v>6</v>
      </c>
      <c r="B271" s="142">
        <f t="shared" si="428"/>
        <v>4</v>
      </c>
      <c r="C271" s="142" t="str">
        <f t="shared" si="429"/>
        <v/>
      </c>
      <c r="D271" s="20">
        <v>7</v>
      </c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0"/>
      <c r="BC271" s="20"/>
      <c r="BD271" s="20"/>
      <c r="BE271" s="20"/>
      <c r="BF271" s="20"/>
    </row>
    <row r="272" spans="1:58" x14ac:dyDescent="0.25">
      <c r="A272" s="20">
        <v>7</v>
      </c>
      <c r="B272" s="142">
        <f t="shared" si="428"/>
        <v>3</v>
      </c>
      <c r="C272" s="142" t="str">
        <f t="shared" si="429"/>
        <v/>
      </c>
      <c r="D272" s="20">
        <v>8</v>
      </c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20"/>
    </row>
    <row r="273" spans="1:58" x14ac:dyDescent="0.25">
      <c r="A273" s="20">
        <v>8</v>
      </c>
      <c r="B273" s="142">
        <f t="shared" si="428"/>
        <v>2</v>
      </c>
      <c r="C273" s="142" t="str">
        <f t="shared" si="429"/>
        <v/>
      </c>
      <c r="D273" s="20">
        <v>9</v>
      </c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B273" s="20"/>
      <c r="BC273" s="20"/>
      <c r="BD273" s="20"/>
      <c r="BE273" s="20"/>
      <c r="BF273" s="20"/>
    </row>
    <row r="274" spans="1:58" x14ac:dyDescent="0.25">
      <c r="A274" s="20">
        <v>9</v>
      </c>
      <c r="B274" s="142">
        <f t="shared" si="428"/>
        <v>1</v>
      </c>
      <c r="C274" s="142" t="str">
        <f t="shared" si="429"/>
        <v/>
      </c>
      <c r="D274" s="20">
        <v>10</v>
      </c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20"/>
    </row>
    <row r="275" spans="1:58" x14ac:dyDescent="0.25">
      <c r="A275" s="20">
        <v>10</v>
      </c>
      <c r="B275" s="142" t="str">
        <f t="shared" si="428"/>
        <v/>
      </c>
      <c r="C275" s="142" t="str">
        <f t="shared" si="429"/>
        <v/>
      </c>
      <c r="D275" s="20">
        <v>11</v>
      </c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B275" s="20"/>
      <c r="BC275" s="20"/>
      <c r="BD275" s="20"/>
      <c r="BE275" s="20"/>
      <c r="BF275" s="20"/>
    </row>
    <row r="276" spans="1:58" x14ac:dyDescent="0.25">
      <c r="A276" s="20">
        <v>11</v>
      </c>
      <c r="B276" s="142" t="str">
        <f t="shared" si="428"/>
        <v/>
      </c>
      <c r="C276" s="142" t="str">
        <f t="shared" si="429"/>
        <v/>
      </c>
      <c r="D276" s="20">
        <v>12</v>
      </c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20"/>
    </row>
    <row r="277" spans="1:58" x14ac:dyDescent="0.25">
      <c r="A277" s="20">
        <v>12</v>
      </c>
      <c r="B277" s="142" t="str">
        <f t="shared" si="428"/>
        <v/>
      </c>
      <c r="C277" s="142" t="str">
        <f t="shared" si="429"/>
        <v/>
      </c>
      <c r="D277" s="20">
        <v>13</v>
      </c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B277" s="20"/>
      <c r="BC277" s="20"/>
      <c r="BD277" s="20"/>
      <c r="BE277" s="20"/>
      <c r="BF277" s="20"/>
    </row>
    <row r="278" spans="1:58" x14ac:dyDescent="0.25">
      <c r="A278" s="20">
        <v>13</v>
      </c>
      <c r="B278" s="142" t="str">
        <f t="shared" si="428"/>
        <v/>
      </c>
      <c r="C278" s="142" t="str">
        <f t="shared" si="429"/>
        <v/>
      </c>
      <c r="D278" s="20">
        <v>14</v>
      </c>
      <c r="E278" s="143" t="str">
        <f>VLOOKUP(B265,$A266:$C334,2)</f>
        <v/>
      </c>
      <c r="F278" s="143" t="str">
        <f>VLOOKUP(C265,$A266:$C334,3)</f>
        <v/>
      </c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20"/>
    </row>
    <row r="279" spans="1:58" x14ac:dyDescent="0.25">
      <c r="A279" s="20">
        <v>14</v>
      </c>
      <c r="B279" s="142" t="str">
        <f t="shared" si="428"/>
        <v/>
      </c>
      <c r="C279" s="142" t="str">
        <f t="shared" si="429"/>
        <v/>
      </c>
      <c r="D279" s="20">
        <v>15</v>
      </c>
      <c r="E279" s="20">
        <v>5</v>
      </c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B279" s="20"/>
      <c r="BC279" s="20"/>
      <c r="BD279" s="20"/>
      <c r="BE279" s="20"/>
      <c r="BF279" s="20"/>
    </row>
    <row r="280" spans="1:58" x14ac:dyDescent="0.25">
      <c r="A280" s="20">
        <v>15</v>
      </c>
      <c r="B280" s="142" t="str">
        <f t="shared" si="428"/>
        <v/>
      </c>
      <c r="C280" s="142" t="str">
        <f t="shared" si="429"/>
        <v/>
      </c>
      <c r="D280" s="20">
        <v>16</v>
      </c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20"/>
    </row>
    <row r="281" spans="1:58" x14ac:dyDescent="0.25">
      <c r="A281" s="20">
        <v>16</v>
      </c>
      <c r="B281" s="142" t="str">
        <f t="shared" si="428"/>
        <v/>
      </c>
      <c r="C281" s="142" t="str">
        <f t="shared" si="429"/>
        <v/>
      </c>
      <c r="D281" s="20">
        <v>17</v>
      </c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B281" s="20"/>
      <c r="BC281" s="20"/>
      <c r="BD281" s="20"/>
      <c r="BE281" s="20"/>
      <c r="BF281" s="20"/>
    </row>
    <row r="282" spans="1:58" x14ac:dyDescent="0.25">
      <c r="A282" s="20">
        <v>17</v>
      </c>
      <c r="B282" s="142" t="str">
        <f t="shared" si="428"/>
        <v/>
      </c>
      <c r="C282" s="142" t="str">
        <f t="shared" si="429"/>
        <v/>
      </c>
      <c r="D282" s="20">
        <v>18</v>
      </c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20"/>
    </row>
    <row r="283" spans="1:58" x14ac:dyDescent="0.25">
      <c r="A283" s="20">
        <v>18</v>
      </c>
      <c r="B283" s="142" t="str">
        <f t="shared" si="428"/>
        <v/>
      </c>
      <c r="C283" s="142" t="str">
        <f t="shared" si="429"/>
        <v/>
      </c>
      <c r="D283" s="20">
        <v>19</v>
      </c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B283" s="20"/>
      <c r="BC283" s="20"/>
      <c r="BD283" s="20"/>
      <c r="BE283" s="20"/>
      <c r="BF283" s="20"/>
    </row>
    <row r="284" spans="1:58" x14ac:dyDescent="0.25">
      <c r="A284" s="20">
        <v>19</v>
      </c>
      <c r="B284" s="142" t="str">
        <f t="shared" si="428"/>
        <v/>
      </c>
      <c r="C284" s="142" t="str">
        <f t="shared" si="429"/>
        <v/>
      </c>
      <c r="D284" s="20">
        <v>20</v>
      </c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20"/>
    </row>
    <row r="285" spans="1:58" x14ac:dyDescent="0.25">
      <c r="A285" s="20">
        <v>20</v>
      </c>
      <c r="B285" s="142" t="str">
        <f t="shared" si="428"/>
        <v/>
      </c>
      <c r="C285" s="142" t="str">
        <f t="shared" si="429"/>
        <v/>
      </c>
      <c r="D285" s="20">
        <v>21</v>
      </c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B285" s="20"/>
      <c r="BC285" s="20"/>
      <c r="BD285" s="20"/>
      <c r="BE285" s="20"/>
      <c r="BF285" s="20"/>
    </row>
    <row r="286" spans="1:58" x14ac:dyDescent="0.25">
      <c r="A286" s="20">
        <v>21</v>
      </c>
      <c r="B286" s="142" t="str">
        <f t="shared" si="428"/>
        <v/>
      </c>
      <c r="C286" s="142" t="str">
        <f t="shared" si="429"/>
        <v/>
      </c>
      <c r="D286" s="20">
        <v>22</v>
      </c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0"/>
      <c r="BC286" s="20"/>
      <c r="BD286" s="20"/>
      <c r="BE286" s="20"/>
      <c r="BF286" s="20"/>
    </row>
    <row r="287" spans="1:58" x14ac:dyDescent="0.25">
      <c r="A287" s="20">
        <v>22</v>
      </c>
      <c r="B287" s="142" t="str">
        <f t="shared" si="428"/>
        <v/>
      </c>
      <c r="C287" s="142" t="str">
        <f t="shared" si="429"/>
        <v/>
      </c>
      <c r="D287" s="20">
        <v>23</v>
      </c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0"/>
      <c r="BC287" s="20"/>
      <c r="BD287" s="20"/>
      <c r="BE287" s="20"/>
      <c r="BF287" s="20"/>
    </row>
    <row r="288" spans="1:58" x14ac:dyDescent="0.25">
      <c r="A288" s="20">
        <v>23</v>
      </c>
      <c r="B288" s="142" t="str">
        <f t="shared" si="428"/>
        <v/>
      </c>
      <c r="C288" s="142" t="str">
        <f t="shared" si="429"/>
        <v/>
      </c>
      <c r="D288" s="20">
        <v>24</v>
      </c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B288" s="20"/>
      <c r="BC288" s="20"/>
      <c r="BD288" s="20"/>
      <c r="BE288" s="20"/>
      <c r="BF288" s="20"/>
    </row>
    <row r="289" spans="1:58" x14ac:dyDescent="0.25">
      <c r="A289" s="20">
        <v>24</v>
      </c>
      <c r="B289" s="142" t="str">
        <f t="shared" si="428"/>
        <v/>
      </c>
      <c r="C289" s="142" t="str">
        <f t="shared" si="429"/>
        <v/>
      </c>
      <c r="D289" s="20">
        <v>25</v>
      </c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20"/>
    </row>
    <row r="290" spans="1:58" x14ac:dyDescent="0.25">
      <c r="A290" s="20">
        <v>25</v>
      </c>
      <c r="B290" s="142" t="str">
        <f t="shared" si="428"/>
        <v/>
      </c>
      <c r="C290" s="142" t="str">
        <f t="shared" si="429"/>
        <v/>
      </c>
      <c r="D290" s="20">
        <v>26</v>
      </c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B290" s="20"/>
      <c r="BC290" s="20"/>
      <c r="BD290" s="20"/>
      <c r="BE290" s="20"/>
      <c r="BF290" s="20"/>
    </row>
    <row r="291" spans="1:58" x14ac:dyDescent="0.25">
      <c r="A291" s="20">
        <v>26</v>
      </c>
      <c r="B291" s="142" t="str">
        <f t="shared" si="428"/>
        <v/>
      </c>
      <c r="C291" s="142" t="str">
        <f t="shared" si="429"/>
        <v/>
      </c>
      <c r="D291" s="20">
        <v>27</v>
      </c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20"/>
    </row>
    <row r="292" spans="1:58" x14ac:dyDescent="0.25">
      <c r="A292" s="20">
        <v>27</v>
      </c>
      <c r="B292" s="142" t="str">
        <f t="shared" si="428"/>
        <v/>
      </c>
      <c r="C292" s="142" t="str">
        <f t="shared" si="429"/>
        <v/>
      </c>
      <c r="D292" s="20">
        <v>28</v>
      </c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B292" s="20"/>
      <c r="BC292" s="20"/>
      <c r="BD292" s="20"/>
      <c r="BE292" s="20"/>
      <c r="BF292" s="20"/>
    </row>
    <row r="293" spans="1:58" x14ac:dyDescent="0.25">
      <c r="A293" s="20">
        <v>28</v>
      </c>
      <c r="B293" s="142" t="str">
        <f t="shared" si="428"/>
        <v/>
      </c>
      <c r="C293" s="142" t="str">
        <f t="shared" si="429"/>
        <v/>
      </c>
      <c r="D293" s="20">
        <v>29</v>
      </c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20"/>
    </row>
    <row r="294" spans="1:58" x14ac:dyDescent="0.25">
      <c r="A294" s="20">
        <v>29</v>
      </c>
      <c r="B294" s="142" t="str">
        <f t="shared" si="428"/>
        <v/>
      </c>
      <c r="C294" s="142" t="str">
        <f t="shared" si="429"/>
        <v/>
      </c>
      <c r="D294" s="20">
        <v>30</v>
      </c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B294" s="20"/>
      <c r="BC294" s="20"/>
      <c r="BD294" s="20"/>
      <c r="BE294" s="20"/>
      <c r="BF294" s="20"/>
    </row>
    <row r="295" spans="1:58" x14ac:dyDescent="0.25">
      <c r="A295" s="20">
        <v>30</v>
      </c>
      <c r="B295" s="142" t="str">
        <f t="shared" si="428"/>
        <v/>
      </c>
      <c r="C295" s="142" t="str">
        <f t="shared" si="429"/>
        <v/>
      </c>
      <c r="D295" s="20">
        <v>31</v>
      </c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20"/>
    </row>
    <row r="296" spans="1:58" x14ac:dyDescent="0.25">
      <c r="A296" s="20">
        <v>31</v>
      </c>
      <c r="B296" s="142" t="str">
        <f t="shared" si="428"/>
        <v/>
      </c>
      <c r="C296" s="142" t="str">
        <f t="shared" si="429"/>
        <v/>
      </c>
      <c r="D296" s="20">
        <v>32</v>
      </c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0"/>
      <c r="BC296" s="20"/>
      <c r="BD296" s="20"/>
      <c r="BE296" s="20"/>
      <c r="BF296" s="20"/>
    </row>
    <row r="297" spans="1:58" x14ac:dyDescent="0.25">
      <c r="A297" s="20">
        <v>32</v>
      </c>
      <c r="B297" s="142" t="str">
        <f t="shared" si="428"/>
        <v/>
      </c>
      <c r="C297" s="142" t="str">
        <f t="shared" si="429"/>
        <v/>
      </c>
      <c r="D297" s="20">
        <v>33</v>
      </c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20"/>
    </row>
    <row r="298" spans="1:58" x14ac:dyDescent="0.25">
      <c r="A298" s="20">
        <v>33</v>
      </c>
      <c r="B298" s="142" t="str">
        <f t="shared" si="428"/>
        <v/>
      </c>
      <c r="C298" s="142" t="str">
        <f t="shared" si="429"/>
        <v/>
      </c>
      <c r="D298" s="20">
        <v>34</v>
      </c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B298" s="20"/>
      <c r="BC298" s="20"/>
      <c r="BD298" s="20"/>
      <c r="BE298" s="20"/>
      <c r="BF298" s="20"/>
    </row>
    <row r="299" spans="1:58" x14ac:dyDescent="0.25">
      <c r="A299" s="20">
        <v>34</v>
      </c>
      <c r="B299" s="142" t="str">
        <f t="shared" si="428"/>
        <v/>
      </c>
      <c r="C299" s="142" t="str">
        <f t="shared" si="429"/>
        <v/>
      </c>
      <c r="D299" s="20">
        <v>35</v>
      </c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20"/>
    </row>
    <row r="300" spans="1:58" x14ac:dyDescent="0.25">
      <c r="A300" s="20">
        <v>35</v>
      </c>
      <c r="B300" s="142" t="str">
        <f t="shared" si="428"/>
        <v/>
      </c>
      <c r="C300" s="142" t="str">
        <f t="shared" si="429"/>
        <v/>
      </c>
      <c r="D300" s="20">
        <v>36</v>
      </c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B300" s="20"/>
      <c r="BC300" s="20"/>
      <c r="BD300" s="20"/>
      <c r="BE300" s="20"/>
      <c r="BF300" s="20"/>
    </row>
    <row r="301" spans="1:58" x14ac:dyDescent="0.25">
      <c r="A301" s="20">
        <v>36</v>
      </c>
      <c r="B301" s="142" t="str">
        <f t="shared" si="428"/>
        <v/>
      </c>
      <c r="C301" s="142" t="str">
        <f t="shared" si="429"/>
        <v/>
      </c>
      <c r="D301" s="20">
        <v>37</v>
      </c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20"/>
    </row>
    <row r="302" spans="1:58" x14ac:dyDescent="0.25">
      <c r="A302" s="20">
        <v>37</v>
      </c>
      <c r="B302" s="142" t="str">
        <f t="shared" si="428"/>
        <v/>
      </c>
      <c r="C302" s="142" t="str">
        <f t="shared" si="429"/>
        <v/>
      </c>
      <c r="D302" s="20">
        <v>38</v>
      </c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B302" s="20"/>
      <c r="BC302" s="20"/>
      <c r="BD302" s="20"/>
      <c r="BE302" s="20"/>
      <c r="BF302" s="20"/>
    </row>
    <row r="303" spans="1:58" x14ac:dyDescent="0.25">
      <c r="A303" s="20">
        <v>38</v>
      </c>
      <c r="B303" s="142" t="str">
        <f t="shared" si="428"/>
        <v/>
      </c>
      <c r="C303" s="142" t="str">
        <f t="shared" si="429"/>
        <v/>
      </c>
      <c r="D303" s="20">
        <v>39</v>
      </c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20"/>
    </row>
    <row r="304" spans="1:58" x14ac:dyDescent="0.25">
      <c r="A304" s="20">
        <v>39</v>
      </c>
      <c r="B304" s="142" t="str">
        <f t="shared" si="428"/>
        <v/>
      </c>
      <c r="C304" s="142" t="str">
        <f t="shared" si="429"/>
        <v/>
      </c>
      <c r="D304" s="20">
        <v>40</v>
      </c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B304" s="20"/>
      <c r="BC304" s="20"/>
      <c r="BD304" s="20"/>
      <c r="BE304" s="20"/>
      <c r="BF304" s="20"/>
    </row>
    <row r="305" spans="1:58" x14ac:dyDescent="0.25">
      <c r="A305" s="20">
        <v>40</v>
      </c>
      <c r="B305" s="142" t="str">
        <f t="shared" si="428"/>
        <v/>
      </c>
      <c r="C305" s="142" t="str">
        <f t="shared" si="429"/>
        <v/>
      </c>
      <c r="D305" s="20">
        <v>41</v>
      </c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20"/>
    </row>
    <row r="306" spans="1:58" x14ac:dyDescent="0.25">
      <c r="A306" s="20">
        <v>41</v>
      </c>
      <c r="B306" s="142" t="str">
        <f t="shared" si="428"/>
        <v/>
      </c>
      <c r="C306" s="142" t="str">
        <f t="shared" si="429"/>
        <v/>
      </c>
      <c r="D306" s="20">
        <v>42</v>
      </c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B306" s="20"/>
      <c r="BC306" s="20"/>
      <c r="BD306" s="20"/>
      <c r="BE306" s="20"/>
      <c r="BF306" s="20"/>
    </row>
    <row r="307" spans="1:58" x14ac:dyDescent="0.25">
      <c r="A307" s="20">
        <v>42</v>
      </c>
      <c r="B307" s="142" t="str">
        <f t="shared" si="428"/>
        <v/>
      </c>
      <c r="C307" s="142" t="str">
        <f t="shared" si="429"/>
        <v/>
      </c>
      <c r="D307" s="20">
        <v>43</v>
      </c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20"/>
    </row>
    <row r="308" spans="1:58" x14ac:dyDescent="0.25">
      <c r="A308" s="20">
        <v>43</v>
      </c>
      <c r="B308" s="142" t="str">
        <f t="shared" si="428"/>
        <v/>
      </c>
      <c r="C308" s="142" t="str">
        <f t="shared" si="429"/>
        <v/>
      </c>
      <c r="D308" s="20">
        <v>44</v>
      </c>
    </row>
    <row r="309" spans="1:58" x14ac:dyDescent="0.25">
      <c r="A309" s="20">
        <v>44</v>
      </c>
      <c r="B309" s="142" t="str">
        <f t="shared" si="428"/>
        <v/>
      </c>
      <c r="C309" s="142" t="str">
        <f t="shared" si="429"/>
        <v/>
      </c>
      <c r="D309" s="20">
        <v>45</v>
      </c>
    </row>
    <row r="310" spans="1:58" x14ac:dyDescent="0.25">
      <c r="A310" s="20">
        <v>45</v>
      </c>
      <c r="B310" s="142" t="str">
        <f t="shared" si="428"/>
        <v/>
      </c>
      <c r="C310" s="142" t="str">
        <f t="shared" si="429"/>
        <v/>
      </c>
      <c r="D310" s="20">
        <v>46</v>
      </c>
    </row>
    <row r="311" spans="1:58" x14ac:dyDescent="0.25">
      <c r="A311" s="20">
        <v>46</v>
      </c>
      <c r="B311" s="142" t="str">
        <f t="shared" si="428"/>
        <v/>
      </c>
      <c r="C311" s="142" t="str">
        <f t="shared" si="429"/>
        <v/>
      </c>
      <c r="D311" s="20">
        <v>47</v>
      </c>
    </row>
    <row r="312" spans="1:58" x14ac:dyDescent="0.25">
      <c r="A312" s="20">
        <v>47</v>
      </c>
      <c r="B312" s="142" t="str">
        <f t="shared" si="428"/>
        <v/>
      </c>
      <c r="C312" s="142" t="str">
        <f t="shared" si="429"/>
        <v/>
      </c>
      <c r="D312" s="20">
        <v>48</v>
      </c>
    </row>
    <row r="313" spans="1:58" x14ac:dyDescent="0.25">
      <c r="A313" s="20">
        <v>48</v>
      </c>
      <c r="B313" s="142" t="str">
        <f t="shared" si="428"/>
        <v/>
      </c>
      <c r="C313" s="142" t="str">
        <f t="shared" si="429"/>
        <v/>
      </c>
      <c r="D313" s="20">
        <v>49</v>
      </c>
    </row>
    <row r="314" spans="1:58" x14ac:dyDescent="0.25">
      <c r="A314" s="20">
        <v>49</v>
      </c>
      <c r="B314" s="142" t="str">
        <f t="shared" si="428"/>
        <v/>
      </c>
      <c r="C314" s="142" t="str">
        <f t="shared" si="429"/>
        <v/>
      </c>
      <c r="D314" s="20">
        <v>50</v>
      </c>
    </row>
    <row r="315" spans="1:58" x14ac:dyDescent="0.25">
      <c r="A315" s="20">
        <v>50</v>
      </c>
      <c r="B315" s="142" t="str">
        <f t="shared" si="428"/>
        <v/>
      </c>
      <c r="C315" s="142" t="str">
        <f t="shared" si="429"/>
        <v/>
      </c>
      <c r="D315" s="20">
        <v>51</v>
      </c>
    </row>
    <row r="316" spans="1:58" x14ac:dyDescent="0.25">
      <c r="A316" s="20">
        <v>51</v>
      </c>
      <c r="B316" s="142" t="str">
        <f t="shared" si="428"/>
        <v/>
      </c>
      <c r="C316" s="142" t="str">
        <f t="shared" si="429"/>
        <v/>
      </c>
      <c r="D316" s="20">
        <v>52</v>
      </c>
    </row>
    <row r="317" spans="1:58" x14ac:dyDescent="0.25">
      <c r="A317" s="20">
        <v>52</v>
      </c>
      <c r="B317" s="142" t="str">
        <f t="shared" si="428"/>
        <v/>
      </c>
      <c r="C317" s="142" t="str">
        <f t="shared" si="429"/>
        <v/>
      </c>
      <c r="D317" s="20">
        <v>53</v>
      </c>
    </row>
    <row r="318" spans="1:58" x14ac:dyDescent="0.25">
      <c r="A318" s="20">
        <v>53</v>
      </c>
      <c r="B318" s="142" t="str">
        <f t="shared" si="428"/>
        <v/>
      </c>
      <c r="C318" s="142" t="str">
        <f t="shared" si="429"/>
        <v/>
      </c>
      <c r="D318" s="20">
        <v>54</v>
      </c>
    </row>
    <row r="319" spans="1:58" x14ac:dyDescent="0.25">
      <c r="A319" s="20">
        <v>54</v>
      </c>
      <c r="B319" s="142" t="str">
        <f t="shared" si="428"/>
        <v/>
      </c>
      <c r="C319" s="142" t="str">
        <f t="shared" si="429"/>
        <v/>
      </c>
      <c r="D319" s="20">
        <v>55</v>
      </c>
    </row>
    <row r="320" spans="1:58" x14ac:dyDescent="0.25">
      <c r="A320" s="20">
        <v>55</v>
      </c>
      <c r="B320" s="142" t="str">
        <f t="shared" si="428"/>
        <v/>
      </c>
      <c r="C320" s="142" t="str">
        <f t="shared" si="429"/>
        <v/>
      </c>
      <c r="D320" s="20">
        <v>56</v>
      </c>
    </row>
    <row r="321" spans="1:4" x14ac:dyDescent="0.25">
      <c r="A321" s="20">
        <v>56</v>
      </c>
      <c r="B321" s="142" t="str">
        <f t="shared" si="428"/>
        <v/>
      </c>
      <c r="C321" s="142" t="str">
        <f t="shared" si="429"/>
        <v/>
      </c>
      <c r="D321" s="20">
        <v>57</v>
      </c>
    </row>
    <row r="322" spans="1:4" x14ac:dyDescent="0.25">
      <c r="A322" s="20">
        <v>57</v>
      </c>
      <c r="B322" s="142" t="str">
        <f t="shared" si="428"/>
        <v/>
      </c>
      <c r="C322" s="142" t="str">
        <f t="shared" si="429"/>
        <v/>
      </c>
      <c r="D322" s="20">
        <v>58</v>
      </c>
    </row>
    <row r="323" spans="1:4" x14ac:dyDescent="0.25">
      <c r="A323" s="20">
        <v>58</v>
      </c>
      <c r="B323" s="142" t="str">
        <f t="shared" si="428"/>
        <v/>
      </c>
      <c r="C323" s="142" t="str">
        <f t="shared" si="429"/>
        <v/>
      </c>
      <c r="D323" s="20">
        <v>59</v>
      </c>
    </row>
    <row r="324" spans="1:4" x14ac:dyDescent="0.25">
      <c r="A324" s="20">
        <v>59</v>
      </c>
      <c r="B324" s="142" t="str">
        <f t="shared" si="428"/>
        <v/>
      </c>
      <c r="C324" s="142" t="str">
        <f t="shared" si="429"/>
        <v/>
      </c>
      <c r="D324" s="20">
        <v>60</v>
      </c>
    </row>
    <row r="325" spans="1:4" x14ac:dyDescent="0.25">
      <c r="A325" s="20">
        <v>60</v>
      </c>
      <c r="B325" s="142" t="str">
        <f t="shared" si="428"/>
        <v/>
      </c>
      <c r="C325" s="142" t="str">
        <f t="shared" si="429"/>
        <v/>
      </c>
      <c r="D325" s="20">
        <v>61</v>
      </c>
    </row>
    <row r="326" spans="1:4" x14ac:dyDescent="0.25">
      <c r="A326" s="20">
        <v>61</v>
      </c>
      <c r="B326" s="142" t="str">
        <f t="shared" si="428"/>
        <v/>
      </c>
      <c r="C326" s="142" t="str">
        <f t="shared" si="429"/>
        <v/>
      </c>
      <c r="D326" s="20">
        <v>62</v>
      </c>
    </row>
    <row r="327" spans="1:4" x14ac:dyDescent="0.25">
      <c r="A327" s="20">
        <v>62</v>
      </c>
      <c r="B327" s="142" t="str">
        <f t="shared" si="428"/>
        <v/>
      </c>
      <c r="C327" s="142" t="str">
        <f t="shared" si="429"/>
        <v/>
      </c>
      <c r="D327" s="20">
        <v>63</v>
      </c>
    </row>
    <row r="328" spans="1:4" x14ac:dyDescent="0.25">
      <c r="A328" s="20">
        <v>63</v>
      </c>
      <c r="B328" s="142" t="str">
        <f t="shared" si="428"/>
        <v/>
      </c>
      <c r="C328" s="142" t="str">
        <f t="shared" si="429"/>
        <v/>
      </c>
      <c r="D328" s="20">
        <v>64</v>
      </c>
    </row>
    <row r="329" spans="1:4" x14ac:dyDescent="0.25">
      <c r="A329" s="20">
        <v>64</v>
      </c>
      <c r="B329" s="142" t="str">
        <f t="shared" si="428"/>
        <v/>
      </c>
      <c r="C329" s="142" t="str">
        <f t="shared" si="429"/>
        <v/>
      </c>
      <c r="D329" s="20">
        <v>65</v>
      </c>
    </row>
    <row r="330" spans="1:4" x14ac:dyDescent="0.25">
      <c r="A330" s="20">
        <v>65</v>
      </c>
      <c r="B330" s="142" t="str">
        <f t="shared" si="428"/>
        <v/>
      </c>
      <c r="C330" s="142" t="str">
        <f t="shared" si="429"/>
        <v/>
      </c>
      <c r="D330" s="20">
        <v>66</v>
      </c>
    </row>
    <row r="331" spans="1:4" x14ac:dyDescent="0.25">
      <c r="A331" s="20">
        <v>66</v>
      </c>
      <c r="B331" s="142" t="str">
        <f t="shared" si="428"/>
        <v/>
      </c>
      <c r="C331" s="142" t="str">
        <f t="shared" si="429"/>
        <v/>
      </c>
      <c r="D331" s="20">
        <v>67</v>
      </c>
    </row>
    <row r="332" spans="1:4" x14ac:dyDescent="0.25">
      <c r="A332" s="20">
        <v>67</v>
      </c>
      <c r="B332" s="142" t="str">
        <f t="shared" ref="B332:C334" si="430">IF(ISERROR(IF(B331-1&lt;1,"",B331-1))=TRUE,"",(IF(B331-1&lt;1,"",B331-1)))</f>
        <v/>
      </c>
      <c r="C332" s="142" t="str">
        <f t="shared" si="430"/>
        <v/>
      </c>
      <c r="D332" s="20">
        <v>68</v>
      </c>
    </row>
    <row r="333" spans="1:4" x14ac:dyDescent="0.25">
      <c r="A333" s="20">
        <v>68</v>
      </c>
      <c r="B333" s="142" t="str">
        <f t="shared" si="430"/>
        <v/>
      </c>
      <c r="C333" s="142" t="str">
        <f t="shared" si="430"/>
        <v/>
      </c>
      <c r="D333" s="20">
        <v>69</v>
      </c>
    </row>
    <row r="334" spans="1:4" x14ac:dyDescent="0.25">
      <c r="A334" s="20">
        <v>69</v>
      </c>
      <c r="B334" s="142" t="str">
        <f t="shared" si="430"/>
        <v/>
      </c>
      <c r="C334" s="142" t="str">
        <f t="shared" si="430"/>
        <v/>
      </c>
      <c r="D334" s="20">
        <v>70</v>
      </c>
    </row>
  </sheetData>
  <mergeCells count="21">
    <mergeCell ref="AA24:AA25"/>
    <mergeCell ref="X22:X23"/>
    <mergeCell ref="X36:X38"/>
    <mergeCell ref="V24:V25"/>
    <mergeCell ref="W24:W25"/>
    <mergeCell ref="Z24:Z25"/>
    <mergeCell ref="Y24:Y25"/>
    <mergeCell ref="X24:X25"/>
    <mergeCell ref="R22:V23"/>
    <mergeCell ref="A254:A263"/>
    <mergeCell ref="A167:A175"/>
    <mergeCell ref="A140:A149"/>
    <mergeCell ref="A41:A51"/>
    <mergeCell ref="A73:A82"/>
    <mergeCell ref="A155:A165"/>
    <mergeCell ref="A187:A196"/>
    <mergeCell ref="Q22:Q23"/>
    <mergeCell ref="B1:H2"/>
    <mergeCell ref="L22:L23"/>
    <mergeCell ref="I22:K23"/>
    <mergeCell ref="M22:P23"/>
  </mergeCells>
  <phoneticPr fontId="5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acro2">
                <anchor moveWithCells="1" sizeWithCells="1">
                  <from>
                    <xdr:col>6</xdr:col>
                    <xdr:colOff>38100</xdr:colOff>
                    <xdr:row>26</xdr:row>
                    <xdr:rowOff>152400</xdr:rowOff>
                  </from>
                  <to>
                    <xdr:col>7</xdr:col>
                    <xdr:colOff>981075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oda">
                <anchor moveWithCells="1" sizeWithCells="1">
                  <from>
                    <xdr:col>6</xdr:col>
                    <xdr:colOff>47625</xdr:colOff>
                    <xdr:row>28</xdr:row>
                    <xdr:rowOff>133350</xdr:rowOff>
                  </from>
                  <to>
                    <xdr:col>7</xdr:col>
                    <xdr:colOff>981075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ulisci">
                <anchor moveWithCells="1" sizeWithCells="1">
                  <from>
                    <xdr:col>6</xdr:col>
                    <xdr:colOff>47625</xdr:colOff>
                    <xdr:row>21</xdr:row>
                    <xdr:rowOff>95250</xdr:rowOff>
                  </from>
                  <to>
                    <xdr:col>7</xdr:col>
                    <xdr:colOff>971550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Pulsante7_Click">
                <anchor moveWithCells="1" sizeWithCells="1">
                  <from>
                    <xdr:col>6</xdr:col>
                    <xdr:colOff>47625</xdr:colOff>
                    <xdr:row>19</xdr:row>
                    <xdr:rowOff>161925</xdr:rowOff>
                  </from>
                  <to>
                    <xdr:col>7</xdr:col>
                    <xdr:colOff>962025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FINALE">
                <anchor moveWithCells="1" sizeWithCells="1">
                  <from>
                    <xdr:col>6</xdr:col>
                    <xdr:colOff>57150</xdr:colOff>
                    <xdr:row>30</xdr:row>
                    <xdr:rowOff>114300</xdr:rowOff>
                  </from>
                  <to>
                    <xdr:col>7</xdr:col>
                    <xdr:colOff>1000125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cancellatestada">
                <anchor moveWithCells="1" sizeWithCells="1">
                  <from>
                    <xdr:col>6</xdr:col>
                    <xdr:colOff>47625</xdr:colOff>
                    <xdr:row>23</xdr:row>
                    <xdr:rowOff>28575</xdr:rowOff>
                  </from>
                  <to>
                    <xdr:col>7</xdr:col>
                    <xdr:colOff>419100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cancellapiatticodada">
                <anchor moveWithCells="1" sizeWithCells="1">
                  <from>
                    <xdr:col>6</xdr:col>
                    <xdr:colOff>47625</xdr:colOff>
                    <xdr:row>24</xdr:row>
                    <xdr:rowOff>171450</xdr:rowOff>
                  </from>
                  <to>
                    <xdr:col>7</xdr:col>
                    <xdr:colOff>419100</xdr:colOff>
                    <xdr:row>26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Drop Down 17">
              <controlPr defaultSize="0" autoLine="0" autoPict="0">
                <anchor moveWithCells="1">
                  <from>
                    <xdr:col>7</xdr:col>
                    <xdr:colOff>447675</xdr:colOff>
                    <xdr:row>23</xdr:row>
                    <xdr:rowOff>38100</xdr:rowOff>
                  </from>
                  <to>
                    <xdr:col>7</xdr:col>
                    <xdr:colOff>962025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Drop Down 18">
              <controlPr defaultSize="0" autoLine="0" autoPict="0">
                <anchor moveWithCells="1">
                  <from>
                    <xdr:col>7</xdr:col>
                    <xdr:colOff>447675</xdr:colOff>
                    <xdr:row>24</xdr:row>
                    <xdr:rowOff>161925</xdr:rowOff>
                  </from>
                  <to>
                    <xdr:col>7</xdr:col>
                    <xdr:colOff>962025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testa2">
                <anchor moveWithCells="1" sizeWithCells="1">
                  <from>
                    <xdr:col>6</xdr:col>
                    <xdr:colOff>66675</xdr:colOff>
                    <xdr:row>32</xdr:row>
                    <xdr:rowOff>123825</xdr:rowOff>
                  </from>
                  <to>
                    <xdr:col>6</xdr:col>
                    <xdr:colOff>895350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coda2">
                <anchor moveWithCells="1" sizeWithCells="1">
                  <from>
                    <xdr:col>7</xdr:col>
                    <xdr:colOff>133350</xdr:colOff>
                    <xdr:row>32</xdr:row>
                    <xdr:rowOff>114300</xdr:rowOff>
                  </from>
                  <to>
                    <xdr:col>7</xdr:col>
                    <xdr:colOff>1000125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Button 21">
              <controlPr defaultSize="0" print="0" autoFill="0" autoPict="0" macro="[0]!ciclofinaleiterativo">
                <anchor moveWithCells="1" sizeWithCells="1">
                  <from>
                    <xdr:col>0</xdr:col>
                    <xdr:colOff>990600</xdr:colOff>
                    <xdr:row>35</xdr:row>
                    <xdr:rowOff>114300</xdr:rowOff>
                  </from>
                  <to>
                    <xdr:col>3</xdr:col>
                    <xdr:colOff>419100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Drop Down 23">
              <controlPr defaultSize="0" autoLine="0" autoPict="0">
                <anchor moveWithCells="1">
                  <from>
                    <xdr:col>3</xdr:col>
                    <xdr:colOff>447675</xdr:colOff>
                    <xdr:row>35</xdr:row>
                    <xdr:rowOff>114300</xdr:rowOff>
                  </from>
                  <to>
                    <xdr:col>4</xdr:col>
                    <xdr:colOff>9525</xdr:colOff>
                    <xdr:row>37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B9A61-EF60-4376-9029-F663E7D3AF0C}">
  <sheetPr codeName="Foglio2"/>
  <dimension ref="A1:CY117"/>
  <sheetViews>
    <sheetView topLeftCell="AT1" zoomScale="71" zoomScaleNormal="71" workbookViewId="0">
      <selection activeCell="G19" sqref="G19"/>
    </sheetView>
  </sheetViews>
  <sheetFormatPr defaultColWidth="8.85546875" defaultRowHeight="15" x14ac:dyDescent="0.25"/>
  <cols>
    <col min="2" max="2" width="11" customWidth="1"/>
    <col min="3" max="3" width="11.28515625" customWidth="1"/>
    <col min="22" max="22" width="15.85546875" customWidth="1"/>
    <col min="23" max="23" width="18" customWidth="1"/>
    <col min="24" max="24" width="12.7109375" customWidth="1"/>
    <col min="28" max="28" width="13" style="7" customWidth="1"/>
    <col min="30" max="30" width="12.7109375" customWidth="1"/>
    <col min="31" max="31" width="11.42578125" customWidth="1"/>
    <col min="35" max="35" width="11.28515625" customWidth="1"/>
    <col min="36" max="36" width="16.140625" customWidth="1"/>
    <col min="84" max="84" width="18.85546875" bestFit="1" customWidth="1"/>
  </cols>
  <sheetData>
    <row r="1" spans="1:84" x14ac:dyDescent="0.25">
      <c r="A1" t="s">
        <v>29</v>
      </c>
      <c r="AH1" s="184" t="s">
        <v>83</v>
      </c>
      <c r="AI1" s="184"/>
      <c r="AJ1" s="184"/>
      <c r="AK1" s="184"/>
      <c r="AL1" s="184"/>
      <c r="AM1" s="184"/>
      <c r="AN1" s="184"/>
      <c r="AO1" s="184"/>
      <c r="AP1" s="184"/>
    </row>
    <row r="2" spans="1:84" x14ac:dyDescent="0.25">
      <c r="N2">
        <v>1</v>
      </c>
      <c r="T2" t="s">
        <v>31</v>
      </c>
      <c r="U2" t="s">
        <v>32</v>
      </c>
      <c r="Y2" t="s">
        <v>36</v>
      </c>
      <c r="Z2" t="s">
        <v>38</v>
      </c>
      <c r="AB2" s="7" t="s">
        <v>47</v>
      </c>
      <c r="AC2" s="7" t="s">
        <v>46</v>
      </c>
      <c r="AD2" t="s">
        <v>33</v>
      </c>
      <c r="AE2" t="s">
        <v>1</v>
      </c>
      <c r="AH2" s="184"/>
      <c r="AI2" s="184"/>
      <c r="AJ2" s="184"/>
      <c r="AK2" s="184"/>
      <c r="AL2" s="184"/>
      <c r="AM2" s="184"/>
      <c r="AN2" s="184"/>
      <c r="AO2" s="184"/>
      <c r="AP2" s="184"/>
    </row>
    <row r="3" spans="1:84" x14ac:dyDescent="0.25">
      <c r="F3" t="s">
        <v>97</v>
      </c>
      <c r="K3" s="5"/>
      <c r="L3" s="5">
        <v>0</v>
      </c>
      <c r="M3" s="5"/>
      <c r="N3" s="3" t="s">
        <v>20</v>
      </c>
      <c r="O3" s="4" t="s">
        <v>19</v>
      </c>
      <c r="P3" s="5"/>
      <c r="Q3" s="5"/>
      <c r="R3" s="5"/>
      <c r="S3" s="5" t="s">
        <v>33</v>
      </c>
      <c r="T3" s="6">
        <f>SUM(T4:T13)</f>
        <v>1890</v>
      </c>
      <c r="U3" s="6">
        <f>SUM(U4:U13)</f>
        <v>2310</v>
      </c>
      <c r="W3" t="s">
        <v>34</v>
      </c>
      <c r="X3" t="s">
        <v>35</v>
      </c>
      <c r="Y3" s="6">
        <f>SUM(Y4:Y13)</f>
        <v>1896.3</v>
      </c>
      <c r="Z3" s="6">
        <f>SUM(Z4:Z13)</f>
        <v>2303.6999999999998</v>
      </c>
      <c r="AC3" s="7"/>
      <c r="AI3">
        <v>1</v>
      </c>
      <c r="AJ3">
        <v>2</v>
      </c>
      <c r="AK3">
        <v>3</v>
      </c>
      <c r="AL3">
        <v>4</v>
      </c>
      <c r="AM3">
        <v>5</v>
      </c>
      <c r="AN3">
        <v>6</v>
      </c>
      <c r="AO3">
        <v>7</v>
      </c>
      <c r="AP3">
        <v>8</v>
      </c>
      <c r="AQ3">
        <v>9</v>
      </c>
      <c r="AR3">
        <v>10</v>
      </c>
      <c r="AS3">
        <v>11</v>
      </c>
      <c r="AT3">
        <v>12</v>
      </c>
      <c r="AU3">
        <v>13</v>
      </c>
      <c r="AV3">
        <v>14</v>
      </c>
      <c r="AW3">
        <v>15</v>
      </c>
      <c r="AX3">
        <v>16</v>
      </c>
      <c r="AY3">
        <v>17</v>
      </c>
      <c r="AZ3">
        <v>18</v>
      </c>
      <c r="BA3">
        <v>19</v>
      </c>
      <c r="BB3">
        <v>20</v>
      </c>
      <c r="BC3">
        <v>21</v>
      </c>
      <c r="BD3">
        <v>22</v>
      </c>
      <c r="BE3">
        <v>23</v>
      </c>
      <c r="BF3">
        <v>24</v>
      </c>
      <c r="BG3">
        <v>25</v>
      </c>
      <c r="BH3">
        <v>26</v>
      </c>
      <c r="BI3">
        <v>27</v>
      </c>
      <c r="BJ3">
        <v>28</v>
      </c>
      <c r="BK3">
        <v>29</v>
      </c>
      <c r="BL3">
        <v>30</v>
      </c>
      <c r="BM3">
        <v>31</v>
      </c>
      <c r="BN3">
        <v>32</v>
      </c>
      <c r="BO3">
        <v>33</v>
      </c>
      <c r="BP3">
        <v>34</v>
      </c>
      <c r="BQ3">
        <v>35</v>
      </c>
      <c r="BR3">
        <v>36</v>
      </c>
      <c r="BS3">
        <v>37</v>
      </c>
      <c r="BT3">
        <v>38</v>
      </c>
      <c r="BU3">
        <v>39</v>
      </c>
      <c r="BV3">
        <v>40</v>
      </c>
      <c r="BW3">
        <v>41</v>
      </c>
      <c r="BX3">
        <v>42</v>
      </c>
      <c r="BY3">
        <v>43</v>
      </c>
      <c r="BZ3">
        <v>44</v>
      </c>
      <c r="CA3">
        <v>45</v>
      </c>
      <c r="CB3">
        <v>46</v>
      </c>
      <c r="CC3">
        <v>47</v>
      </c>
      <c r="CD3">
        <v>48</v>
      </c>
      <c r="CE3">
        <v>49</v>
      </c>
      <c r="CF3">
        <v>50</v>
      </c>
    </row>
    <row r="4" spans="1:84" x14ac:dyDescent="0.25">
      <c r="A4">
        <v>1</v>
      </c>
      <c r="B4" t="s">
        <v>30</v>
      </c>
      <c r="C4">
        <f>IF(Foglio1!O10&lt;&gt;0,"LK",0)</f>
        <v>0</v>
      </c>
      <c r="D4">
        <f>IF(Foglio1!P10&lt;&gt;0,"HK",0)</f>
        <v>0</v>
      </c>
      <c r="E4">
        <v>1</v>
      </c>
      <c r="F4">
        <f>Foglio1!N10</f>
        <v>7.2461434141379885E-2</v>
      </c>
      <c r="H4">
        <f>Foglio1!J6</f>
        <v>0.01</v>
      </c>
      <c r="J4" t="str">
        <f>Foglio1!B10</f>
        <v>C3</v>
      </c>
      <c r="K4">
        <f>Foglio1!K10</f>
        <v>210</v>
      </c>
      <c r="L4">
        <f>IF(AND(Foglio1!O10=0,Foglio2!L3=0),0,1)</f>
        <v>0</v>
      </c>
      <c r="M4">
        <f>IF(L3=1,2,L4)</f>
        <v>0</v>
      </c>
      <c r="N4">
        <f>Foglio1!O10</f>
        <v>0</v>
      </c>
      <c r="O4">
        <f>Foglio1!P10</f>
        <v>0</v>
      </c>
      <c r="R4">
        <f>Foglio1!K10</f>
        <v>210</v>
      </c>
      <c r="S4" t="str">
        <f t="shared" ref="S4:S13" si="0">IF(V4&lt;=J$8,"D","B")</f>
        <v>D</v>
      </c>
      <c r="T4">
        <f>IF(S4="D",R4,0)</f>
        <v>210</v>
      </c>
      <c r="U4">
        <f>IF(S4="B",R4,0)</f>
        <v>0</v>
      </c>
      <c r="V4">
        <v>1</v>
      </c>
      <c r="W4">
        <f t="shared" ref="W4:W13" si="1">IF(V4&lt;J$8,$H$4*T4,0)</f>
        <v>2.1</v>
      </c>
      <c r="X4">
        <f t="shared" ref="X4:X13" si="2">IF(V4&gt;J$9,$H$4*U4,0)</f>
        <v>0</v>
      </c>
      <c r="Y4">
        <f t="shared" ref="Y4:Y13" si="3">T4-W4+X4</f>
        <v>207.9</v>
      </c>
      <c r="Z4">
        <f t="shared" ref="Z4:Z13" si="4">U4-X4+W4</f>
        <v>2.1</v>
      </c>
      <c r="AB4" s="7">
        <f t="shared" ref="AB4:AB13" si="5">IF(V4&lt;J$8,W4,IF(V4=J$8,W$18*I$8/100,0))</f>
        <v>2.1</v>
      </c>
      <c r="AC4" s="7">
        <f t="shared" ref="AC4:AC13" si="6">IF(V4=J$9,V$18*I$9/100,IF(V4&gt;J$9,U4*H$4,0))</f>
        <v>0</v>
      </c>
      <c r="AD4" s="7">
        <f>T4-AB4+AC4</f>
        <v>207.9</v>
      </c>
      <c r="AE4" s="7">
        <f>U4+AB4-AC4</f>
        <v>2.1</v>
      </c>
      <c r="AH4" t="s">
        <v>53</v>
      </c>
      <c r="AI4">
        <f>MAX(Foglio1!$F$10:$F$19)*2</f>
        <v>233.3720572771723</v>
      </c>
      <c r="AJ4">
        <f>IF(AI27&gt;1,AI6,AI4)</f>
        <v>116.68602863858615</v>
      </c>
      <c r="AK4">
        <f>IF(AJ27&gt;1,AJ6,AJ4)</f>
        <v>116.68602863858615</v>
      </c>
      <c r="AL4">
        <f>IF(AK27&gt;1,AK6,AK4)</f>
        <v>87.514521478939614</v>
      </c>
      <c r="AM4">
        <f>IF(AL27&gt;1,AL6,AL4)</f>
        <v>72.928767899116338</v>
      </c>
      <c r="AN4">
        <f>IF(AM27&gt;1,AM6,AM4)</f>
        <v>65.635891109204707</v>
      </c>
      <c r="AO4">
        <f t="shared" ref="AO4:AW4" si="7">IF(AN27&gt;1,AN6,AN4)</f>
        <v>61.989452714248891</v>
      </c>
      <c r="AP4">
        <f t="shared" si="7"/>
        <v>60.166233516770987</v>
      </c>
      <c r="AQ4">
        <f t="shared" si="7"/>
        <v>60.166233516770987</v>
      </c>
      <c r="AR4">
        <f t="shared" si="7"/>
        <v>59.710428717401513</v>
      </c>
      <c r="AS4">
        <f t="shared" si="7"/>
        <v>59.482526317716776</v>
      </c>
      <c r="AT4">
        <f t="shared" si="7"/>
        <v>59.3685751178744</v>
      </c>
      <c r="AU4">
        <f t="shared" si="7"/>
        <v>59.3685751178744</v>
      </c>
      <c r="AV4">
        <f t="shared" si="7"/>
        <v>59.3685751178744</v>
      </c>
      <c r="AW4">
        <f t="shared" si="7"/>
        <v>59.3685751178744</v>
      </c>
      <c r="AX4">
        <f t="shared" ref="AX4:BC4" si="8">IF(AW27&gt;1,AW6,AW4)</f>
        <v>59.3685751178744</v>
      </c>
      <c r="AY4">
        <f t="shared" si="8"/>
        <v>59.365014142879325</v>
      </c>
      <c r="AZ4">
        <f t="shared" si="8"/>
        <v>59.363233655381791</v>
      </c>
      <c r="BA4">
        <f t="shared" si="8"/>
        <v>59.36234341163302</v>
      </c>
      <c r="BB4">
        <f t="shared" si="8"/>
        <v>59.361898289758635</v>
      </c>
      <c r="BC4">
        <f t="shared" si="8"/>
        <v>59.361898289758635</v>
      </c>
      <c r="BD4">
        <f t="shared" ref="BD4:BO4" si="9">IF(BC27&gt;1,BC6,BC4)</f>
        <v>59.361898289758635</v>
      </c>
      <c r="BE4">
        <f t="shared" si="9"/>
        <v>59.361842649524334</v>
      </c>
      <c r="BF4">
        <f t="shared" si="9"/>
        <v>59.361842649524334</v>
      </c>
      <c r="BG4">
        <f t="shared" si="9"/>
        <v>59.361842649524334</v>
      </c>
      <c r="BH4">
        <f t="shared" si="9"/>
        <v>59.361842649524334</v>
      </c>
      <c r="BI4">
        <f t="shared" si="9"/>
        <v>59.361842649524334</v>
      </c>
      <c r="BJ4">
        <f t="shared" si="9"/>
        <v>59.361840910767015</v>
      </c>
      <c r="BK4">
        <f t="shared" si="9"/>
        <v>59.361840041388355</v>
      </c>
      <c r="BL4">
        <f t="shared" si="9"/>
        <v>59.361839606699021</v>
      </c>
      <c r="BM4">
        <f t="shared" si="9"/>
        <v>59.361839606699021</v>
      </c>
      <c r="BN4">
        <f t="shared" si="9"/>
        <v>59.36183949802669</v>
      </c>
      <c r="BO4">
        <f t="shared" si="9"/>
        <v>59.361839443690528</v>
      </c>
      <c r="BP4">
        <f t="shared" ref="BP4:CF4" si="10">IF(BO27&gt;1,BO6,BO4)</f>
        <v>59.361839443690528</v>
      </c>
      <c r="BQ4">
        <f t="shared" si="10"/>
        <v>59.361839443690528</v>
      </c>
      <c r="BR4">
        <f t="shared" si="10"/>
        <v>59.361839436898507</v>
      </c>
      <c r="BS4">
        <f t="shared" si="10"/>
        <v>59.361839436898507</v>
      </c>
      <c r="BT4">
        <f t="shared" si="10"/>
        <v>59.361839436898507</v>
      </c>
      <c r="BU4">
        <f t="shared" si="10"/>
        <v>59.361839436898507</v>
      </c>
      <c r="BV4">
        <f t="shared" si="10"/>
        <v>59.361839436474007</v>
      </c>
      <c r="BW4">
        <f t="shared" si="10"/>
        <v>59.361839436474007</v>
      </c>
      <c r="BX4">
        <f t="shared" si="10"/>
        <v>59.361839436474007</v>
      </c>
      <c r="BY4">
        <f t="shared" si="10"/>
        <v>59.361839436474007</v>
      </c>
      <c r="BZ4">
        <f t="shared" si="10"/>
        <v>59.361839436474007</v>
      </c>
      <c r="CA4">
        <f t="shared" si="10"/>
        <v>59.361839436474007</v>
      </c>
      <c r="CB4">
        <f t="shared" si="10"/>
        <v>59.361839436474007</v>
      </c>
      <c r="CC4">
        <f t="shared" si="10"/>
        <v>59.361839436470689</v>
      </c>
      <c r="CD4">
        <f t="shared" si="10"/>
        <v>59.361839436470689</v>
      </c>
      <c r="CE4">
        <f t="shared" si="10"/>
        <v>59.361839436470689</v>
      </c>
      <c r="CF4">
        <f t="shared" si="10"/>
        <v>59.361839436470689</v>
      </c>
    </row>
    <row r="5" spans="1:84" x14ac:dyDescent="0.25">
      <c r="A5">
        <v>2</v>
      </c>
      <c r="C5">
        <f>IF(Foglio1!O11&lt;&gt;0,"LK",0)</f>
        <v>0</v>
      </c>
      <c r="D5">
        <f>IF(Foglio1!P11&lt;&gt;0,"HK",0)</f>
        <v>0</v>
      </c>
      <c r="E5">
        <v>2</v>
      </c>
      <c r="F5">
        <f>Foglio1!N11</f>
        <v>0.16500254280386506</v>
      </c>
      <c r="L5">
        <f>IF(AND(Foglio1!O11=0,Foglio2!L4=0),0,1)</f>
        <v>0</v>
      </c>
      <c r="M5">
        <f t="shared" ref="M5:M13" si="11">IF(L4=1,2,L5)</f>
        <v>0</v>
      </c>
      <c r="N5">
        <f>Foglio1!O11</f>
        <v>0</v>
      </c>
      <c r="O5">
        <f>Foglio1!P11</f>
        <v>0</v>
      </c>
      <c r="R5">
        <f>Foglio1!K11</f>
        <v>630</v>
      </c>
      <c r="S5" t="str">
        <f t="shared" si="0"/>
        <v>D</v>
      </c>
      <c r="T5">
        <f t="shared" ref="T5:T13" si="12">IF(S5="D",R5,0)</f>
        <v>630</v>
      </c>
      <c r="U5">
        <f t="shared" ref="U5:U13" si="13">IF(S5="B",R5,0)</f>
        <v>0</v>
      </c>
      <c r="V5">
        <v>2</v>
      </c>
      <c r="W5">
        <f t="shared" si="1"/>
        <v>6.3</v>
      </c>
      <c r="X5">
        <f t="shared" si="2"/>
        <v>0</v>
      </c>
      <c r="Y5">
        <f t="shared" si="3"/>
        <v>623.70000000000005</v>
      </c>
      <c r="Z5">
        <f t="shared" si="4"/>
        <v>6.3</v>
      </c>
      <c r="AB5" s="7">
        <f t="shared" si="5"/>
        <v>6.3</v>
      </c>
      <c r="AC5" s="7">
        <f t="shared" si="6"/>
        <v>0</v>
      </c>
      <c r="AD5" s="7">
        <f t="shared" ref="AD5:AD13" si="14">T5-AB5+AC5</f>
        <v>623.70000000000005</v>
      </c>
      <c r="AE5" s="7">
        <f t="shared" ref="AE5:AE13" si="15">U5+AB5-AC5</f>
        <v>6.3</v>
      </c>
      <c r="AH5" t="s">
        <v>54</v>
      </c>
      <c r="AI5">
        <f>MIN(Foglio1!$F$10:$F$19)</f>
        <v>0</v>
      </c>
      <c r="AJ5">
        <f>IF(AI27&gt;1,AI5,AI6)</f>
        <v>0</v>
      </c>
      <c r="AK5">
        <f>IF(AJ27&gt;1,AJ5,AJ6)</f>
        <v>58.343014319293076</v>
      </c>
      <c r="AL5">
        <f>IF(AK27&gt;1,AK5,AK6)</f>
        <v>58.343014319293076</v>
      </c>
      <c r="AM5">
        <f>IF(AL27&gt;1,AL5,AL6)</f>
        <v>58.343014319293076</v>
      </c>
      <c r="AN5">
        <f>IF(AM27&gt;1,AM5,AM6)</f>
        <v>58.343014319293076</v>
      </c>
      <c r="AO5">
        <f t="shared" ref="AO5:AW5" si="16">IF(AN27&gt;1,AN5,AN6)</f>
        <v>58.343014319293076</v>
      </c>
      <c r="AP5">
        <f t="shared" si="16"/>
        <v>58.343014319293076</v>
      </c>
      <c r="AQ5">
        <f t="shared" si="16"/>
        <v>59.254623918032031</v>
      </c>
      <c r="AR5">
        <f t="shared" si="16"/>
        <v>59.254623918032031</v>
      </c>
      <c r="AS5">
        <f t="shared" si="16"/>
        <v>59.254623918032031</v>
      </c>
      <c r="AT5">
        <f t="shared" si="16"/>
        <v>59.254623918032031</v>
      </c>
      <c r="AU5">
        <f t="shared" si="16"/>
        <v>59.311599517953212</v>
      </c>
      <c r="AV5">
        <f t="shared" si="16"/>
        <v>59.340087317913806</v>
      </c>
      <c r="AW5">
        <f t="shared" si="16"/>
        <v>59.354331217894099</v>
      </c>
      <c r="AX5">
        <f t="shared" ref="AX5:BC5" si="17">IF(AW27&gt;1,AW5,AW6)</f>
        <v>59.36145316788425</v>
      </c>
      <c r="AY5">
        <f t="shared" si="17"/>
        <v>59.36145316788425</v>
      </c>
      <c r="AZ5">
        <f t="shared" si="17"/>
        <v>59.36145316788425</v>
      </c>
      <c r="BA5">
        <f t="shared" si="17"/>
        <v>59.36145316788425</v>
      </c>
      <c r="BB5">
        <f t="shared" si="17"/>
        <v>59.36145316788425</v>
      </c>
      <c r="BC5">
        <f t="shared" si="17"/>
        <v>59.361675728821439</v>
      </c>
      <c r="BD5">
        <f t="shared" ref="BD5:BO5" si="18">IF(BC27&gt;1,BC5,BC6)</f>
        <v>59.36178700929004</v>
      </c>
      <c r="BE5">
        <f t="shared" si="18"/>
        <v>59.36178700929004</v>
      </c>
      <c r="BF5">
        <f t="shared" si="18"/>
        <v>59.361814829407187</v>
      </c>
      <c r="BG5">
        <f t="shared" si="18"/>
        <v>59.361828739465764</v>
      </c>
      <c r="BH5">
        <f t="shared" si="18"/>
        <v>59.361835694495049</v>
      </c>
      <c r="BI5">
        <f t="shared" si="18"/>
        <v>59.361839172009695</v>
      </c>
      <c r="BJ5">
        <f t="shared" si="18"/>
        <v>59.361839172009695</v>
      </c>
      <c r="BK5">
        <f t="shared" si="18"/>
        <v>59.361839172009695</v>
      </c>
      <c r="BL5">
        <f t="shared" si="18"/>
        <v>59.361839172009695</v>
      </c>
      <c r="BM5">
        <f t="shared" si="18"/>
        <v>59.361839389354358</v>
      </c>
      <c r="BN5">
        <f t="shared" si="18"/>
        <v>59.361839389354358</v>
      </c>
      <c r="BO5">
        <f t="shared" si="18"/>
        <v>59.361839389354358</v>
      </c>
      <c r="BP5">
        <f t="shared" ref="BP5:CF5" si="19">IF(BO27&gt;1,BO5,BO6)</f>
        <v>59.361839416522443</v>
      </c>
      <c r="BQ5">
        <f t="shared" si="19"/>
        <v>59.361839430106485</v>
      </c>
      <c r="BR5">
        <f t="shared" si="19"/>
        <v>59.361839430106485</v>
      </c>
      <c r="BS5">
        <f t="shared" si="19"/>
        <v>59.361839433502496</v>
      </c>
      <c r="BT5">
        <f t="shared" si="19"/>
        <v>59.361839435200501</v>
      </c>
      <c r="BU5">
        <f t="shared" si="19"/>
        <v>59.361839436049507</v>
      </c>
      <c r="BV5">
        <f t="shared" si="19"/>
        <v>59.361839436049507</v>
      </c>
      <c r="BW5">
        <f t="shared" si="19"/>
        <v>59.361839436261761</v>
      </c>
      <c r="BX5">
        <f t="shared" si="19"/>
        <v>59.361839436367887</v>
      </c>
      <c r="BY5">
        <f t="shared" si="19"/>
        <v>59.361839436420951</v>
      </c>
      <c r="BZ5">
        <f t="shared" si="19"/>
        <v>59.361839436447482</v>
      </c>
      <c r="CA5">
        <f t="shared" si="19"/>
        <v>59.361839436460741</v>
      </c>
      <c r="CB5">
        <f t="shared" si="19"/>
        <v>59.361839436467378</v>
      </c>
      <c r="CC5">
        <f t="shared" si="19"/>
        <v>59.361839436467378</v>
      </c>
      <c r="CD5">
        <f t="shared" si="19"/>
        <v>59.361839436469033</v>
      </c>
      <c r="CE5">
        <f t="shared" si="19"/>
        <v>59.361839436469864</v>
      </c>
      <c r="CF5">
        <f t="shared" si="19"/>
        <v>59.361839436470277</v>
      </c>
    </row>
    <row r="6" spans="1:84" x14ac:dyDescent="0.25">
      <c r="A6">
        <v>3</v>
      </c>
      <c r="C6" t="str">
        <f>IF(Foglio1!O12&lt;&gt;0,"LK",0)</f>
        <v>LK</v>
      </c>
      <c r="D6">
        <f>IF(Foglio1!P12&lt;&gt;0,"HK",0)</f>
        <v>0</v>
      </c>
      <c r="E6">
        <v>3</v>
      </c>
      <c r="F6">
        <f>Foglio1!N12</f>
        <v>0.27500423800644175</v>
      </c>
      <c r="L6">
        <f>IF(AND(Foglio1!O12=0,Foglio2!L5=0),0,1)</f>
        <v>1</v>
      </c>
      <c r="M6">
        <f t="shared" si="11"/>
        <v>1</v>
      </c>
      <c r="N6">
        <f>Foglio1!O12</f>
        <v>1</v>
      </c>
      <c r="O6">
        <f>Foglio1!P12</f>
        <v>0</v>
      </c>
      <c r="R6">
        <f>Foglio1!K12</f>
        <v>1050</v>
      </c>
      <c r="S6" t="str">
        <f t="shared" si="0"/>
        <v>D</v>
      </c>
      <c r="T6">
        <f t="shared" si="12"/>
        <v>1050</v>
      </c>
      <c r="U6">
        <f t="shared" si="13"/>
        <v>0</v>
      </c>
      <c r="V6">
        <v>3</v>
      </c>
      <c r="W6">
        <f t="shared" si="1"/>
        <v>0</v>
      </c>
      <c r="X6">
        <f t="shared" si="2"/>
        <v>0</v>
      </c>
      <c r="Y6">
        <f t="shared" si="3"/>
        <v>1050</v>
      </c>
      <c r="Z6">
        <f t="shared" si="4"/>
        <v>0</v>
      </c>
      <c r="AB6" s="7">
        <f t="shared" si="5"/>
        <v>22.684374999999996</v>
      </c>
      <c r="AC6" s="7">
        <f t="shared" si="6"/>
        <v>0</v>
      </c>
      <c r="AD6" s="7">
        <f t="shared" si="14"/>
        <v>1027.315625</v>
      </c>
      <c r="AE6" s="7">
        <f t="shared" si="15"/>
        <v>22.684374999999996</v>
      </c>
      <c r="AH6" t="s">
        <v>55</v>
      </c>
      <c r="AI6">
        <f t="shared" ref="AI6:BN6" si="20">(AI4+AI5)/2</f>
        <v>116.68602863858615</v>
      </c>
      <c r="AJ6">
        <f t="shared" si="20"/>
        <v>58.343014319293076</v>
      </c>
      <c r="AK6">
        <f t="shared" si="20"/>
        <v>87.514521478939614</v>
      </c>
      <c r="AL6">
        <f t="shared" si="20"/>
        <v>72.928767899116338</v>
      </c>
      <c r="AM6">
        <f t="shared" si="20"/>
        <v>65.635891109204707</v>
      </c>
      <c r="AN6">
        <f t="shared" si="20"/>
        <v>61.989452714248891</v>
      </c>
      <c r="AO6">
        <f t="shared" si="20"/>
        <v>60.166233516770987</v>
      </c>
      <c r="AP6">
        <f t="shared" si="20"/>
        <v>59.254623918032031</v>
      </c>
      <c r="AQ6">
        <f t="shared" si="20"/>
        <v>59.710428717401513</v>
      </c>
      <c r="AR6">
        <f t="shared" si="20"/>
        <v>59.482526317716776</v>
      </c>
      <c r="AS6">
        <f t="shared" si="20"/>
        <v>59.3685751178744</v>
      </c>
      <c r="AT6">
        <f t="shared" si="20"/>
        <v>59.311599517953212</v>
      </c>
      <c r="AU6">
        <f t="shared" si="20"/>
        <v>59.340087317913806</v>
      </c>
      <c r="AV6">
        <f t="shared" si="20"/>
        <v>59.354331217894099</v>
      </c>
      <c r="AW6">
        <f t="shared" si="20"/>
        <v>59.36145316788425</v>
      </c>
      <c r="AX6">
        <f t="shared" si="20"/>
        <v>59.365014142879325</v>
      </c>
      <c r="AY6">
        <f t="shared" si="20"/>
        <v>59.363233655381791</v>
      </c>
      <c r="AZ6">
        <f t="shared" si="20"/>
        <v>59.36234341163302</v>
      </c>
      <c r="BA6">
        <f t="shared" si="20"/>
        <v>59.361898289758635</v>
      </c>
      <c r="BB6">
        <f t="shared" si="20"/>
        <v>59.361675728821439</v>
      </c>
      <c r="BC6">
        <f t="shared" si="20"/>
        <v>59.36178700929004</v>
      </c>
      <c r="BD6">
        <f t="shared" si="20"/>
        <v>59.361842649524334</v>
      </c>
      <c r="BE6">
        <f t="shared" si="20"/>
        <v>59.361814829407187</v>
      </c>
      <c r="BF6">
        <f t="shared" si="20"/>
        <v>59.361828739465764</v>
      </c>
      <c r="BG6">
        <f t="shared" si="20"/>
        <v>59.361835694495049</v>
      </c>
      <c r="BH6">
        <f t="shared" si="20"/>
        <v>59.361839172009695</v>
      </c>
      <c r="BI6">
        <f t="shared" si="20"/>
        <v>59.361840910767015</v>
      </c>
      <c r="BJ6">
        <f t="shared" si="20"/>
        <v>59.361840041388355</v>
      </c>
      <c r="BK6">
        <f t="shared" si="20"/>
        <v>59.361839606699021</v>
      </c>
      <c r="BL6">
        <f t="shared" si="20"/>
        <v>59.361839389354358</v>
      </c>
      <c r="BM6">
        <f t="shared" si="20"/>
        <v>59.36183949802669</v>
      </c>
      <c r="BN6">
        <f t="shared" si="20"/>
        <v>59.361839443690528</v>
      </c>
      <c r="BO6">
        <f t="shared" ref="BO6:CF6" si="21">(BO4+BO5)/2</f>
        <v>59.361839416522443</v>
      </c>
      <c r="BP6">
        <f t="shared" si="21"/>
        <v>59.361839430106485</v>
      </c>
      <c r="BQ6">
        <f t="shared" si="21"/>
        <v>59.361839436898507</v>
      </c>
      <c r="BR6">
        <f t="shared" si="21"/>
        <v>59.361839433502496</v>
      </c>
      <c r="BS6">
        <f t="shared" si="21"/>
        <v>59.361839435200501</v>
      </c>
      <c r="BT6">
        <f t="shared" si="21"/>
        <v>59.361839436049507</v>
      </c>
      <c r="BU6">
        <f t="shared" si="21"/>
        <v>59.361839436474007</v>
      </c>
      <c r="BV6">
        <f t="shared" si="21"/>
        <v>59.361839436261761</v>
      </c>
      <c r="BW6">
        <f t="shared" si="21"/>
        <v>59.361839436367887</v>
      </c>
      <c r="BX6">
        <f t="shared" si="21"/>
        <v>59.361839436420951</v>
      </c>
      <c r="BY6">
        <f t="shared" si="21"/>
        <v>59.361839436447482</v>
      </c>
      <c r="BZ6">
        <f t="shared" si="21"/>
        <v>59.361839436460741</v>
      </c>
      <c r="CA6">
        <f t="shared" si="21"/>
        <v>59.361839436467378</v>
      </c>
      <c r="CB6">
        <f t="shared" si="21"/>
        <v>59.361839436470689</v>
      </c>
      <c r="CC6">
        <f t="shared" si="21"/>
        <v>59.361839436469033</v>
      </c>
      <c r="CD6">
        <f t="shared" si="21"/>
        <v>59.361839436469864</v>
      </c>
      <c r="CE6">
        <f t="shared" si="21"/>
        <v>59.361839436470277</v>
      </c>
      <c r="CF6" s="43">
        <f t="shared" si="21"/>
        <v>59.361839436470483</v>
      </c>
    </row>
    <row r="7" spans="1:84" x14ac:dyDescent="0.25">
      <c r="A7">
        <v>4</v>
      </c>
      <c r="C7">
        <f>IF(Foglio1!O13&lt;&gt;0,"LK",0)</f>
        <v>0</v>
      </c>
      <c r="D7" t="str">
        <f>IF(Foglio1!P13&lt;&gt;0,"HK",0)</f>
        <v>HK</v>
      </c>
      <c r="E7">
        <v>4</v>
      </c>
      <c r="F7">
        <f>Foglio1!N13</f>
        <v>0.17728428547211394</v>
      </c>
      <c r="H7" s="12"/>
      <c r="I7" s="15" t="s">
        <v>45</v>
      </c>
      <c r="J7" s="16" t="s">
        <v>44</v>
      </c>
      <c r="K7" t="s">
        <v>98</v>
      </c>
      <c r="L7">
        <f>IF(AND(Foglio1!O13=0,Foglio2!L6=0),0,1)</f>
        <v>1</v>
      </c>
      <c r="M7">
        <f t="shared" si="11"/>
        <v>2</v>
      </c>
      <c r="N7">
        <f>Foglio1!O13</f>
        <v>0</v>
      </c>
      <c r="O7">
        <f>Foglio1!P13</f>
        <v>3</v>
      </c>
      <c r="R7">
        <f>Foglio1!K13</f>
        <v>840</v>
      </c>
      <c r="S7" t="str">
        <f t="shared" si="0"/>
        <v>B</v>
      </c>
      <c r="T7">
        <f t="shared" si="12"/>
        <v>0</v>
      </c>
      <c r="U7">
        <f t="shared" si="13"/>
        <v>840</v>
      </c>
      <c r="V7">
        <v>4</v>
      </c>
      <c r="W7">
        <f t="shared" si="1"/>
        <v>0</v>
      </c>
      <c r="X7">
        <f t="shared" si="2"/>
        <v>0</v>
      </c>
      <c r="Y7">
        <f t="shared" si="3"/>
        <v>0</v>
      </c>
      <c r="Z7">
        <f t="shared" si="4"/>
        <v>840</v>
      </c>
      <c r="AB7" s="7">
        <f t="shared" si="5"/>
        <v>0</v>
      </c>
      <c r="AC7" s="7">
        <f t="shared" si="6"/>
        <v>57.946874999999999</v>
      </c>
      <c r="AD7" s="7">
        <f t="shared" si="14"/>
        <v>57.946874999999999</v>
      </c>
      <c r="AE7" s="7">
        <f t="shared" si="15"/>
        <v>782.05312500000002</v>
      </c>
      <c r="AH7" t="s">
        <v>56</v>
      </c>
      <c r="AI7">
        <f>Foglio1!$W$10</f>
        <v>0.13809227787132397</v>
      </c>
      <c r="AJ7">
        <f>Foglio1!$W10</f>
        <v>0.13809227787132397</v>
      </c>
      <c r="AK7">
        <f>Foglio1!$W10</f>
        <v>0.13809227787132397</v>
      </c>
      <c r="AL7">
        <f>Foglio1!$W10</f>
        <v>0.13809227787132397</v>
      </c>
      <c r="AM7">
        <f>Foglio1!$W10</f>
        <v>0.13809227787132397</v>
      </c>
      <c r="AN7">
        <f>Foglio1!$W10</f>
        <v>0.13809227787132397</v>
      </c>
      <c r="AO7">
        <f>Foglio1!$W10</f>
        <v>0.13809227787132397</v>
      </c>
      <c r="AP7">
        <f>Foglio1!$W10</f>
        <v>0.13809227787132397</v>
      </c>
      <c r="AQ7">
        <f>Foglio1!$W10</f>
        <v>0.13809227787132397</v>
      </c>
      <c r="AR7">
        <f>Foglio1!$W10</f>
        <v>0.13809227787132397</v>
      </c>
      <c r="AS7">
        <f>Foglio1!$W10</f>
        <v>0.13809227787132397</v>
      </c>
      <c r="AT7">
        <f>Foglio1!$W10</f>
        <v>0.13809227787132397</v>
      </c>
      <c r="AU7">
        <f>Foglio1!$W10</f>
        <v>0.13809227787132397</v>
      </c>
      <c r="AV7">
        <f>Foglio1!$W10</f>
        <v>0.13809227787132397</v>
      </c>
      <c r="AW7">
        <f>Foglio1!$W10</f>
        <v>0.13809227787132397</v>
      </c>
      <c r="AX7">
        <f>Foglio1!$W10</f>
        <v>0.13809227787132397</v>
      </c>
      <c r="AY7">
        <f>Foglio1!$W10</f>
        <v>0.13809227787132397</v>
      </c>
      <c r="AZ7">
        <f>Foglio1!$W10</f>
        <v>0.13809227787132397</v>
      </c>
      <c r="BA7">
        <f>Foglio1!$W10</f>
        <v>0.13809227787132397</v>
      </c>
      <c r="BB7">
        <f>Foglio1!$W10</f>
        <v>0.13809227787132397</v>
      </c>
      <c r="BC7">
        <f>Foglio1!$W10</f>
        <v>0.13809227787132397</v>
      </c>
      <c r="BD7">
        <f>Foglio1!$W10</f>
        <v>0.13809227787132397</v>
      </c>
      <c r="BE7">
        <f>Foglio1!$W10</f>
        <v>0.13809227787132397</v>
      </c>
      <c r="BF7">
        <f>Foglio1!$W10</f>
        <v>0.13809227787132397</v>
      </c>
      <c r="BG7">
        <f>Foglio1!$W10</f>
        <v>0.13809227787132397</v>
      </c>
      <c r="BH7">
        <f>Foglio1!$W10</f>
        <v>0.13809227787132397</v>
      </c>
      <c r="BI7">
        <f>Foglio1!$W10</f>
        <v>0.13809227787132397</v>
      </c>
      <c r="BJ7">
        <f>Foglio1!$W10</f>
        <v>0.13809227787132397</v>
      </c>
      <c r="BK7">
        <f>Foglio1!$W10</f>
        <v>0.13809227787132397</v>
      </c>
      <c r="BL7">
        <f>Foglio1!$W10</f>
        <v>0.13809227787132397</v>
      </c>
      <c r="BM7">
        <f>Foglio1!$W10</f>
        <v>0.13809227787132397</v>
      </c>
      <c r="BN7">
        <f>Foglio1!$W10</f>
        <v>0.13809227787132397</v>
      </c>
      <c r="BO7">
        <f>Foglio1!$W10</f>
        <v>0.13809227787132397</v>
      </c>
      <c r="BP7">
        <f>Foglio1!$W10</f>
        <v>0.13809227787132397</v>
      </c>
      <c r="BQ7">
        <f>Foglio1!$W10</f>
        <v>0.13809227787132397</v>
      </c>
      <c r="BR7">
        <f>Foglio1!$W10</f>
        <v>0.13809227787132397</v>
      </c>
      <c r="BS7">
        <f>Foglio1!$W10</f>
        <v>0.13809227787132397</v>
      </c>
      <c r="BT7">
        <f>Foglio1!$W10</f>
        <v>0.13809227787132397</v>
      </c>
      <c r="BU7">
        <f>Foglio1!$W10</f>
        <v>0.13809227787132397</v>
      </c>
      <c r="BV7">
        <f>Foglio1!$W10</f>
        <v>0.13809227787132397</v>
      </c>
      <c r="BW7">
        <f>Foglio1!$W10</f>
        <v>0.13809227787132397</v>
      </c>
      <c r="BX7">
        <f>Foglio1!$W10</f>
        <v>0.13809227787132397</v>
      </c>
      <c r="BY7">
        <f>Foglio1!$W10</f>
        <v>0.13809227787132397</v>
      </c>
      <c r="BZ7">
        <f>Foglio1!$W10</f>
        <v>0.13809227787132397</v>
      </c>
      <c r="CA7">
        <f>Foglio1!$W10</f>
        <v>0.13809227787132397</v>
      </c>
      <c r="CB7">
        <f>Foglio1!$W10</f>
        <v>0.13809227787132397</v>
      </c>
      <c r="CC7">
        <f>Foglio1!$W10</f>
        <v>0.13809227787132397</v>
      </c>
      <c r="CD7">
        <f>Foglio1!$W10</f>
        <v>0.13809227787132397</v>
      </c>
      <c r="CE7">
        <f>Foglio1!$W10</f>
        <v>0.13809227787132397</v>
      </c>
      <c r="CF7">
        <f>Foglio1!$W10</f>
        <v>0.13809227787132397</v>
      </c>
    </row>
    <row r="8" spans="1:84" x14ac:dyDescent="0.25">
      <c r="A8">
        <v>5</v>
      </c>
      <c r="C8">
        <f>IF(Foglio1!O14&lt;&gt;0,"LK",0)</f>
        <v>0</v>
      </c>
      <c r="D8">
        <f>IF(Foglio1!P14&lt;&gt;0,"HK",0)</f>
        <v>0</v>
      </c>
      <c r="E8">
        <v>5</v>
      </c>
      <c r="F8">
        <f>Foglio1!N14</f>
        <v>0.3102474995761994</v>
      </c>
      <c r="H8" s="13" t="s">
        <v>39</v>
      </c>
      <c r="I8" s="8">
        <f>VLOOKUP(1,$M$4:$O$13,2,FALSE)</f>
        <v>1</v>
      </c>
      <c r="J8" s="9">
        <f>VLOOKUP("LK",$C$4:$E$13,3,FALSE)</f>
        <v>3</v>
      </c>
      <c r="K8">
        <f>VLOOKUP(J8,A4:F13,6,FALSE)</f>
        <v>0.27500423800644175</v>
      </c>
      <c r="L8">
        <f>IF(AND(Foglio1!O14=0,Foglio2!L7=0),0,1)</f>
        <v>1</v>
      </c>
      <c r="M8">
        <f t="shared" si="11"/>
        <v>2</v>
      </c>
      <c r="N8">
        <f>Foglio1!O14</f>
        <v>0</v>
      </c>
      <c r="O8">
        <f>Foglio1!P14</f>
        <v>0</v>
      </c>
      <c r="R8">
        <f>Foglio1!K14</f>
        <v>1470</v>
      </c>
      <c r="S8" t="str">
        <f t="shared" si="0"/>
        <v>B</v>
      </c>
      <c r="T8">
        <f t="shared" si="12"/>
        <v>0</v>
      </c>
      <c r="U8">
        <f t="shared" si="13"/>
        <v>1470</v>
      </c>
      <c r="V8">
        <v>5</v>
      </c>
      <c r="W8">
        <f t="shared" si="1"/>
        <v>0</v>
      </c>
      <c r="X8">
        <f t="shared" si="2"/>
        <v>14.700000000000001</v>
      </c>
      <c r="Y8">
        <f t="shared" si="3"/>
        <v>14.700000000000001</v>
      </c>
      <c r="Z8">
        <f t="shared" si="4"/>
        <v>1455.3</v>
      </c>
      <c r="AB8" s="7">
        <f t="shared" si="5"/>
        <v>0</v>
      </c>
      <c r="AC8" s="7">
        <f t="shared" si="6"/>
        <v>14.700000000000001</v>
      </c>
      <c r="AD8" s="7">
        <f t="shared" si="14"/>
        <v>14.700000000000001</v>
      </c>
      <c r="AE8" s="7">
        <f t="shared" si="15"/>
        <v>1455.3</v>
      </c>
      <c r="AH8" t="s">
        <v>57</v>
      </c>
      <c r="AI8">
        <f>Foglio1!$W$11</f>
        <v>0.31445109057446063</v>
      </c>
      <c r="AJ8">
        <f>Foglio1!$W11</f>
        <v>0.31445109057446063</v>
      </c>
      <c r="AK8">
        <f>Foglio1!$W11</f>
        <v>0.31445109057446063</v>
      </c>
      <c r="AL8">
        <f>Foglio1!$W11</f>
        <v>0.31445109057446063</v>
      </c>
      <c r="AM8">
        <f>Foglio1!$W11</f>
        <v>0.31445109057446063</v>
      </c>
      <c r="AN8">
        <f>Foglio1!$W11</f>
        <v>0.31445109057446063</v>
      </c>
      <c r="AO8">
        <f>Foglio1!$W11</f>
        <v>0.31445109057446063</v>
      </c>
      <c r="AP8">
        <f>Foglio1!$W11</f>
        <v>0.31445109057446063</v>
      </c>
      <c r="AQ8">
        <f>Foglio1!$W11</f>
        <v>0.31445109057446063</v>
      </c>
      <c r="AR8">
        <f>Foglio1!$W11</f>
        <v>0.31445109057446063</v>
      </c>
      <c r="AS8">
        <f>Foglio1!$W11</f>
        <v>0.31445109057446063</v>
      </c>
      <c r="AT8">
        <f>Foglio1!$W11</f>
        <v>0.31445109057446063</v>
      </c>
      <c r="AU8">
        <f>Foglio1!$W11</f>
        <v>0.31445109057446063</v>
      </c>
      <c r="AV8">
        <f>Foglio1!$W11</f>
        <v>0.31445109057446063</v>
      </c>
      <c r="AW8">
        <f>Foglio1!$W11</f>
        <v>0.31445109057446063</v>
      </c>
      <c r="AX8">
        <f>Foglio1!$W11</f>
        <v>0.31445109057446063</v>
      </c>
      <c r="AY8">
        <f>Foglio1!$W11</f>
        <v>0.31445109057446063</v>
      </c>
      <c r="AZ8">
        <f>Foglio1!$W11</f>
        <v>0.31445109057446063</v>
      </c>
      <c r="BA8">
        <f>Foglio1!$W11</f>
        <v>0.31445109057446063</v>
      </c>
      <c r="BB8">
        <f>Foglio1!$W11</f>
        <v>0.31445109057446063</v>
      </c>
      <c r="BC8">
        <f>Foglio1!$W11</f>
        <v>0.31445109057446063</v>
      </c>
      <c r="BD8">
        <f>Foglio1!$W11</f>
        <v>0.31445109057446063</v>
      </c>
      <c r="BE8">
        <f>Foglio1!$W11</f>
        <v>0.31445109057446063</v>
      </c>
      <c r="BF8">
        <f>Foglio1!$W11</f>
        <v>0.31445109057446063</v>
      </c>
      <c r="BG8">
        <f>Foglio1!$W11</f>
        <v>0.31445109057446063</v>
      </c>
      <c r="BH8">
        <f>Foglio1!$W11</f>
        <v>0.31445109057446063</v>
      </c>
      <c r="BI8">
        <f>Foglio1!$W11</f>
        <v>0.31445109057446063</v>
      </c>
      <c r="BJ8">
        <f>Foglio1!$W11</f>
        <v>0.31445109057446063</v>
      </c>
      <c r="BK8">
        <f>Foglio1!$W11</f>
        <v>0.31445109057446063</v>
      </c>
      <c r="BL8">
        <f>Foglio1!$W11</f>
        <v>0.31445109057446063</v>
      </c>
      <c r="BM8">
        <f>Foglio1!$W11</f>
        <v>0.31445109057446063</v>
      </c>
      <c r="BN8">
        <f>Foglio1!$W11</f>
        <v>0.31445109057446063</v>
      </c>
      <c r="BO8">
        <f>Foglio1!$W11</f>
        <v>0.31445109057446063</v>
      </c>
      <c r="BP8">
        <f>Foglio1!$W11</f>
        <v>0.31445109057446063</v>
      </c>
      <c r="BQ8">
        <f>Foglio1!$W11</f>
        <v>0.31445109057446063</v>
      </c>
      <c r="BR8">
        <f>Foglio1!$W11</f>
        <v>0.31445109057446063</v>
      </c>
      <c r="BS8">
        <f>Foglio1!$W11</f>
        <v>0.31445109057446063</v>
      </c>
      <c r="BT8">
        <f>Foglio1!$W11</f>
        <v>0.31445109057446063</v>
      </c>
      <c r="BU8">
        <f>Foglio1!$W11</f>
        <v>0.31445109057446063</v>
      </c>
      <c r="BV8">
        <f>Foglio1!$W11</f>
        <v>0.31445109057446063</v>
      </c>
      <c r="BW8">
        <f>Foglio1!$W11</f>
        <v>0.31445109057446063</v>
      </c>
      <c r="BX8">
        <f>Foglio1!$W11</f>
        <v>0.31445109057446063</v>
      </c>
      <c r="BY8">
        <f>Foglio1!$W11</f>
        <v>0.31445109057446063</v>
      </c>
      <c r="BZ8">
        <f>Foglio1!$W11</f>
        <v>0.31445109057446063</v>
      </c>
      <c r="CA8">
        <f>Foglio1!$W11</f>
        <v>0.31445109057446063</v>
      </c>
      <c r="CB8">
        <f>Foglio1!$W11</f>
        <v>0.31445109057446063</v>
      </c>
      <c r="CC8">
        <f>Foglio1!$W11</f>
        <v>0.31445109057446063</v>
      </c>
      <c r="CD8">
        <f>Foglio1!$W11</f>
        <v>0.31445109057446063</v>
      </c>
      <c r="CE8">
        <f>Foglio1!$W11</f>
        <v>0.31445109057446063</v>
      </c>
      <c r="CF8">
        <f>Foglio1!$W11</f>
        <v>0.31445109057446063</v>
      </c>
    </row>
    <row r="9" spans="1:84" x14ac:dyDescent="0.25">
      <c r="A9">
        <v>6</v>
      </c>
      <c r="C9">
        <f>IF(Foglio1!O15&lt;&gt;0,"LK",0)</f>
        <v>0</v>
      </c>
      <c r="D9">
        <f>IF(Foglio1!P15&lt;&gt;0,"HK",0)</f>
        <v>0</v>
      </c>
      <c r="E9">
        <v>6</v>
      </c>
      <c r="F9">
        <f>Foglio1!N15</f>
        <v>0</v>
      </c>
      <c r="H9" s="14" t="s">
        <v>40</v>
      </c>
      <c r="I9" s="10">
        <f>VLOOKUP(2,$M$4:$O$13,3,FALSE)</f>
        <v>3</v>
      </c>
      <c r="J9" s="11">
        <f>VLOOKUP("HK",$D$4:$E$13,2,FALSE)</f>
        <v>4</v>
      </c>
      <c r="K9">
        <f>VLOOKUP(J9,A5:F14,6,FALSE)</f>
        <v>0.17728428547211394</v>
      </c>
      <c r="L9">
        <f>IF(AND(Foglio1!O15=0,Foglio2!L8=0),0,1)</f>
        <v>1</v>
      </c>
      <c r="M9">
        <f t="shared" si="11"/>
        <v>2</v>
      </c>
      <c r="N9">
        <f>Foglio1!O15</f>
        <v>0</v>
      </c>
      <c r="O9">
        <f>Foglio1!P15</f>
        <v>0</v>
      </c>
      <c r="R9">
        <f>Foglio1!K15</f>
        <v>0</v>
      </c>
      <c r="S9" t="str">
        <f t="shared" si="0"/>
        <v>B</v>
      </c>
      <c r="T9">
        <f t="shared" si="12"/>
        <v>0</v>
      </c>
      <c r="U9">
        <f t="shared" si="13"/>
        <v>0</v>
      </c>
      <c r="V9">
        <v>6</v>
      </c>
      <c r="W9">
        <f t="shared" si="1"/>
        <v>0</v>
      </c>
      <c r="X9">
        <f t="shared" si="2"/>
        <v>0</v>
      </c>
      <c r="Y9">
        <f t="shared" si="3"/>
        <v>0</v>
      </c>
      <c r="Z9">
        <f t="shared" si="4"/>
        <v>0</v>
      </c>
      <c r="AB9" s="7">
        <f t="shared" si="5"/>
        <v>0</v>
      </c>
      <c r="AC9" s="7">
        <f t="shared" si="6"/>
        <v>0</v>
      </c>
      <c r="AD9" s="7">
        <f t="shared" si="14"/>
        <v>0</v>
      </c>
      <c r="AE9" s="7">
        <f t="shared" si="15"/>
        <v>0</v>
      </c>
      <c r="AH9" t="s">
        <v>58</v>
      </c>
      <c r="AI9">
        <f>Foglio1!$W$12</f>
        <v>0.51794214950366135</v>
      </c>
      <c r="AJ9">
        <f>Foglio1!$W12</f>
        <v>0.51794214950366135</v>
      </c>
      <c r="AK9">
        <f>Foglio1!$W12</f>
        <v>0.51794214950366135</v>
      </c>
      <c r="AL9">
        <f>Foglio1!$W12</f>
        <v>0.51794214950366135</v>
      </c>
      <c r="AM9">
        <f>Foglio1!$W12</f>
        <v>0.51794214950366135</v>
      </c>
      <c r="AN9">
        <f>Foglio1!$W12</f>
        <v>0.51794214950366135</v>
      </c>
      <c r="AO9">
        <f>Foglio1!$W12</f>
        <v>0.51794214950366135</v>
      </c>
      <c r="AP9">
        <f>Foglio1!$W12</f>
        <v>0.51794214950366135</v>
      </c>
      <c r="AQ9">
        <f>Foglio1!$W12</f>
        <v>0.51794214950366135</v>
      </c>
      <c r="AR9">
        <f>Foglio1!$W12</f>
        <v>0.51794214950366135</v>
      </c>
      <c r="AS9">
        <f>Foglio1!$W12</f>
        <v>0.51794214950366135</v>
      </c>
      <c r="AT9">
        <f>Foglio1!$W12</f>
        <v>0.51794214950366135</v>
      </c>
      <c r="AU9">
        <f>Foglio1!$W12</f>
        <v>0.51794214950366135</v>
      </c>
      <c r="AV9">
        <f>Foglio1!$W12</f>
        <v>0.51794214950366135</v>
      </c>
      <c r="AW9">
        <f>Foglio1!$W12</f>
        <v>0.51794214950366135</v>
      </c>
      <c r="AX9">
        <f>Foglio1!$W12</f>
        <v>0.51794214950366135</v>
      </c>
      <c r="AY9">
        <f>Foglio1!$W12</f>
        <v>0.51794214950366135</v>
      </c>
      <c r="AZ9">
        <f>Foglio1!$W12</f>
        <v>0.51794214950366135</v>
      </c>
      <c r="BA9">
        <f>Foglio1!$W12</f>
        <v>0.51794214950366135</v>
      </c>
      <c r="BB9">
        <f>Foglio1!$W12</f>
        <v>0.51794214950366135</v>
      </c>
      <c r="BC9">
        <f>Foglio1!$W12</f>
        <v>0.51794214950366135</v>
      </c>
      <c r="BD9">
        <f>Foglio1!$W12</f>
        <v>0.51794214950366135</v>
      </c>
      <c r="BE9">
        <f>Foglio1!$W12</f>
        <v>0.51794214950366135</v>
      </c>
      <c r="BF9">
        <f>Foglio1!$W12</f>
        <v>0.51794214950366135</v>
      </c>
      <c r="BG9">
        <f>Foglio1!$W12</f>
        <v>0.51794214950366135</v>
      </c>
      <c r="BH9">
        <f>Foglio1!$W12</f>
        <v>0.51794214950366135</v>
      </c>
      <c r="BI9">
        <f>Foglio1!$W12</f>
        <v>0.51794214950366135</v>
      </c>
      <c r="BJ9">
        <f>Foglio1!$W12</f>
        <v>0.51794214950366135</v>
      </c>
      <c r="BK9">
        <f>Foglio1!$W12</f>
        <v>0.51794214950366135</v>
      </c>
      <c r="BL9">
        <f>Foglio1!$W12</f>
        <v>0.51794214950366135</v>
      </c>
      <c r="BM9">
        <f>Foglio1!$W12</f>
        <v>0.51794214950366135</v>
      </c>
      <c r="BN9">
        <f>Foglio1!$W12</f>
        <v>0.51794214950366135</v>
      </c>
      <c r="BO9">
        <f>Foglio1!$W12</f>
        <v>0.51794214950366135</v>
      </c>
      <c r="BP9">
        <f>Foglio1!$W12</f>
        <v>0.51794214950366135</v>
      </c>
      <c r="BQ9">
        <f>Foglio1!$W12</f>
        <v>0.51794214950366135</v>
      </c>
      <c r="BR9">
        <f>Foglio1!$W12</f>
        <v>0.51794214950366135</v>
      </c>
      <c r="BS9">
        <f>Foglio1!$W12</f>
        <v>0.51794214950366135</v>
      </c>
      <c r="BT9">
        <f>Foglio1!$W12</f>
        <v>0.51794214950366135</v>
      </c>
      <c r="BU9">
        <f>Foglio1!$W12</f>
        <v>0.51794214950366135</v>
      </c>
      <c r="BV9">
        <f>Foglio1!$W12</f>
        <v>0.51794214950366135</v>
      </c>
      <c r="BW9">
        <f>Foglio1!$W12</f>
        <v>0.51794214950366135</v>
      </c>
      <c r="BX9">
        <f>Foglio1!$W12</f>
        <v>0.51794214950366135</v>
      </c>
      <c r="BY9">
        <f>Foglio1!$W12</f>
        <v>0.51794214950366135</v>
      </c>
      <c r="BZ9">
        <f>Foglio1!$W12</f>
        <v>0.51794214950366135</v>
      </c>
      <c r="CA9">
        <f>Foglio1!$W12</f>
        <v>0.51794214950366135</v>
      </c>
      <c r="CB9">
        <f>Foglio1!$W12</f>
        <v>0.51794214950366135</v>
      </c>
      <c r="CC9">
        <f>Foglio1!$W12</f>
        <v>0.51794214950366135</v>
      </c>
      <c r="CD9">
        <f>Foglio1!$W12</f>
        <v>0.51794214950366135</v>
      </c>
      <c r="CE9">
        <f>Foglio1!$W12</f>
        <v>0.51794214950366135</v>
      </c>
      <c r="CF9">
        <f>Foglio1!$W12</f>
        <v>0.51794214950366135</v>
      </c>
    </row>
    <row r="10" spans="1:84" x14ac:dyDescent="0.25">
      <c r="A10">
        <v>7</v>
      </c>
      <c r="C10">
        <f>IF(Foglio1!O16&lt;&gt;0,"LK",0)</f>
        <v>0</v>
      </c>
      <c r="D10">
        <f>IF(Foglio1!P16&lt;&gt;0,"HK",0)</f>
        <v>0</v>
      </c>
      <c r="E10">
        <v>7</v>
      </c>
      <c r="F10">
        <f>Foglio1!N16</f>
        <v>0</v>
      </c>
      <c r="L10">
        <f>IF(AND(Foglio1!O16=0,Foglio2!L9=0),0,1)</f>
        <v>1</v>
      </c>
      <c r="M10">
        <f t="shared" si="11"/>
        <v>2</v>
      </c>
      <c r="N10">
        <f>Foglio1!O16</f>
        <v>0</v>
      </c>
      <c r="O10">
        <f>Foglio1!P16</f>
        <v>0</v>
      </c>
      <c r="R10">
        <f>Foglio1!K16</f>
        <v>0</v>
      </c>
      <c r="S10" t="str">
        <f t="shared" si="0"/>
        <v>B</v>
      </c>
      <c r="T10">
        <f t="shared" si="12"/>
        <v>0</v>
      </c>
      <c r="U10">
        <f t="shared" si="13"/>
        <v>0</v>
      </c>
      <c r="V10">
        <v>7</v>
      </c>
      <c r="W10">
        <f t="shared" si="1"/>
        <v>0</v>
      </c>
      <c r="X10">
        <f t="shared" si="2"/>
        <v>0</v>
      </c>
      <c r="Y10">
        <f t="shared" si="3"/>
        <v>0</v>
      </c>
      <c r="Z10">
        <f t="shared" si="4"/>
        <v>0</v>
      </c>
      <c r="AB10" s="7">
        <f t="shared" si="5"/>
        <v>0</v>
      </c>
      <c r="AC10" s="7">
        <f t="shared" si="6"/>
        <v>0</v>
      </c>
      <c r="AD10" s="7">
        <f t="shared" si="14"/>
        <v>0</v>
      </c>
      <c r="AE10" s="7">
        <f t="shared" si="15"/>
        <v>0</v>
      </c>
      <c r="AH10" t="s">
        <v>59</v>
      </c>
      <c r="AI10">
        <f>Foglio1!$W$13</f>
        <v>2.3542265267063482E-2</v>
      </c>
      <c r="AJ10">
        <f>Foglio1!$W13</f>
        <v>2.3542265267063482E-2</v>
      </c>
      <c r="AK10">
        <f>Foglio1!$W13</f>
        <v>2.3542265267063482E-2</v>
      </c>
      <c r="AL10">
        <f>Foglio1!$W13</f>
        <v>2.3542265267063482E-2</v>
      </c>
      <c r="AM10">
        <f>Foglio1!$W13</f>
        <v>2.3542265267063482E-2</v>
      </c>
      <c r="AN10">
        <f>Foglio1!$W13</f>
        <v>2.3542265267063482E-2</v>
      </c>
      <c r="AO10">
        <f>Foglio1!$W13</f>
        <v>2.3542265267063482E-2</v>
      </c>
      <c r="AP10">
        <f>Foglio1!$W13</f>
        <v>2.3542265267063482E-2</v>
      </c>
      <c r="AQ10">
        <f>Foglio1!$W13</f>
        <v>2.3542265267063482E-2</v>
      </c>
      <c r="AR10">
        <f>Foglio1!$W13</f>
        <v>2.3542265267063482E-2</v>
      </c>
      <c r="AS10">
        <f>Foglio1!$W13</f>
        <v>2.3542265267063482E-2</v>
      </c>
      <c r="AT10">
        <f>Foglio1!$W13</f>
        <v>2.3542265267063482E-2</v>
      </c>
      <c r="AU10">
        <f>Foglio1!$W13</f>
        <v>2.3542265267063482E-2</v>
      </c>
      <c r="AV10">
        <f>Foglio1!$W13</f>
        <v>2.3542265267063482E-2</v>
      </c>
      <c r="AW10">
        <f>Foglio1!$W13</f>
        <v>2.3542265267063482E-2</v>
      </c>
      <c r="AX10">
        <f>Foglio1!$W13</f>
        <v>2.3542265267063482E-2</v>
      </c>
      <c r="AY10">
        <f>Foglio1!$W13</f>
        <v>2.3542265267063482E-2</v>
      </c>
      <c r="AZ10">
        <f>Foglio1!$W13</f>
        <v>2.3542265267063482E-2</v>
      </c>
      <c r="BA10">
        <f>Foglio1!$W13</f>
        <v>2.3542265267063482E-2</v>
      </c>
      <c r="BB10">
        <f>Foglio1!$W13</f>
        <v>2.3542265267063482E-2</v>
      </c>
      <c r="BC10">
        <f>Foglio1!$W13</f>
        <v>2.3542265267063482E-2</v>
      </c>
      <c r="BD10">
        <f>Foglio1!$W13</f>
        <v>2.3542265267063482E-2</v>
      </c>
      <c r="BE10">
        <f>Foglio1!$W13</f>
        <v>2.3542265267063482E-2</v>
      </c>
      <c r="BF10">
        <f>Foglio1!$W13</f>
        <v>2.3542265267063482E-2</v>
      </c>
      <c r="BG10">
        <f>Foglio1!$W13</f>
        <v>2.3542265267063482E-2</v>
      </c>
      <c r="BH10">
        <f>Foglio1!$W13</f>
        <v>2.3542265267063482E-2</v>
      </c>
      <c r="BI10">
        <f>Foglio1!$W13</f>
        <v>2.3542265267063482E-2</v>
      </c>
      <c r="BJ10">
        <f>Foglio1!$W13</f>
        <v>2.3542265267063482E-2</v>
      </c>
      <c r="BK10">
        <f>Foglio1!$W13</f>
        <v>2.3542265267063482E-2</v>
      </c>
      <c r="BL10">
        <f>Foglio1!$W13</f>
        <v>2.3542265267063482E-2</v>
      </c>
      <c r="BM10">
        <f>Foglio1!$W13</f>
        <v>2.3542265267063482E-2</v>
      </c>
      <c r="BN10">
        <f>Foglio1!$W13</f>
        <v>2.3542265267063482E-2</v>
      </c>
      <c r="BO10">
        <f>Foglio1!$W13</f>
        <v>2.3542265267063482E-2</v>
      </c>
      <c r="BP10">
        <f>Foglio1!$W13</f>
        <v>2.3542265267063482E-2</v>
      </c>
      <c r="BQ10">
        <f>Foglio1!$W13</f>
        <v>2.3542265267063482E-2</v>
      </c>
      <c r="BR10">
        <f>Foglio1!$W13</f>
        <v>2.3542265267063482E-2</v>
      </c>
      <c r="BS10">
        <f>Foglio1!$W13</f>
        <v>2.3542265267063482E-2</v>
      </c>
      <c r="BT10">
        <f>Foglio1!$W13</f>
        <v>2.3542265267063482E-2</v>
      </c>
      <c r="BU10">
        <f>Foglio1!$W13</f>
        <v>2.3542265267063482E-2</v>
      </c>
      <c r="BV10">
        <f>Foglio1!$W13</f>
        <v>2.3542265267063482E-2</v>
      </c>
      <c r="BW10">
        <f>Foglio1!$W13</f>
        <v>2.3542265267063482E-2</v>
      </c>
      <c r="BX10">
        <f>Foglio1!$W13</f>
        <v>2.3542265267063482E-2</v>
      </c>
      <c r="BY10">
        <f>Foglio1!$W13</f>
        <v>2.3542265267063482E-2</v>
      </c>
      <c r="BZ10">
        <f>Foglio1!$W13</f>
        <v>2.3542265267063482E-2</v>
      </c>
      <c r="CA10">
        <f>Foglio1!$W13</f>
        <v>2.3542265267063482E-2</v>
      </c>
      <c r="CB10">
        <f>Foglio1!$W13</f>
        <v>2.3542265267063482E-2</v>
      </c>
      <c r="CC10">
        <f>Foglio1!$W13</f>
        <v>2.3542265267063482E-2</v>
      </c>
      <c r="CD10">
        <f>Foglio1!$W13</f>
        <v>2.3542265267063482E-2</v>
      </c>
      <c r="CE10">
        <f>Foglio1!$W13</f>
        <v>2.3542265267063482E-2</v>
      </c>
      <c r="CF10">
        <f>Foglio1!$W13</f>
        <v>2.3542265267063482E-2</v>
      </c>
    </row>
    <row r="11" spans="1:84" x14ac:dyDescent="0.25">
      <c r="A11">
        <v>8</v>
      </c>
      <c r="C11">
        <f>IF(Foglio1!O17&lt;&gt;0,"LK",0)</f>
        <v>0</v>
      </c>
      <c r="D11">
        <f>IF(Foglio1!P17&lt;&gt;0,"HK",0)</f>
        <v>0</v>
      </c>
      <c r="E11">
        <v>8</v>
      </c>
      <c r="F11">
        <f>Foglio1!N17</f>
        <v>0</v>
      </c>
      <c r="I11" t="s">
        <v>99</v>
      </c>
      <c r="J11">
        <f>K8/K9</f>
        <v>1.5512048192771082</v>
      </c>
      <c r="L11">
        <f>IF(AND(Foglio1!O17=0,Foglio2!L10=0),0,1)</f>
        <v>1</v>
      </c>
      <c r="M11">
        <f t="shared" si="11"/>
        <v>2</v>
      </c>
      <c r="N11">
        <f>Foglio1!O17</f>
        <v>0</v>
      </c>
      <c r="O11">
        <f>Foglio1!P17</f>
        <v>0</v>
      </c>
      <c r="R11">
        <f>Foglio1!K17</f>
        <v>0</v>
      </c>
      <c r="S11" t="str">
        <f t="shared" si="0"/>
        <v>B</v>
      </c>
      <c r="T11">
        <f t="shared" si="12"/>
        <v>0</v>
      </c>
      <c r="U11">
        <f t="shared" si="13"/>
        <v>0</v>
      </c>
      <c r="V11">
        <v>8</v>
      </c>
      <c r="W11">
        <f t="shared" si="1"/>
        <v>0</v>
      </c>
      <c r="X11">
        <f t="shared" si="2"/>
        <v>0</v>
      </c>
      <c r="Y11">
        <f t="shared" si="3"/>
        <v>0</v>
      </c>
      <c r="Z11">
        <f t="shared" si="4"/>
        <v>0</v>
      </c>
      <c r="AB11" s="7">
        <f t="shared" si="5"/>
        <v>0</v>
      </c>
      <c r="AC11" s="7">
        <f t="shared" si="6"/>
        <v>0</v>
      </c>
      <c r="AD11" s="7">
        <f t="shared" si="14"/>
        <v>0</v>
      </c>
      <c r="AE11" s="7">
        <f t="shared" si="15"/>
        <v>0</v>
      </c>
      <c r="AH11" t="s">
        <v>60</v>
      </c>
      <c r="AI11">
        <f>Foglio1!$W$14</f>
        <v>5.9722167834906238E-3</v>
      </c>
      <c r="AJ11">
        <f>Foglio1!$W14</f>
        <v>5.9722167834906238E-3</v>
      </c>
      <c r="AK11">
        <f>Foglio1!$W14</f>
        <v>5.9722167834906238E-3</v>
      </c>
      <c r="AL11">
        <f>Foglio1!$W14</f>
        <v>5.9722167834906238E-3</v>
      </c>
      <c r="AM11">
        <f>Foglio1!$W14</f>
        <v>5.9722167834906238E-3</v>
      </c>
      <c r="AN11">
        <f>Foglio1!$W14</f>
        <v>5.9722167834906238E-3</v>
      </c>
      <c r="AO11">
        <f>Foglio1!$W14</f>
        <v>5.9722167834906238E-3</v>
      </c>
      <c r="AP11">
        <f>Foglio1!$W14</f>
        <v>5.9722167834906238E-3</v>
      </c>
      <c r="AQ11">
        <f>Foglio1!$W14</f>
        <v>5.9722167834906238E-3</v>
      </c>
      <c r="AR11">
        <f>Foglio1!$W14</f>
        <v>5.9722167834906238E-3</v>
      </c>
      <c r="AS11">
        <f>Foglio1!$W14</f>
        <v>5.9722167834906238E-3</v>
      </c>
      <c r="AT11">
        <f>Foglio1!$W14</f>
        <v>5.9722167834906238E-3</v>
      </c>
      <c r="AU11">
        <f>Foglio1!$W14</f>
        <v>5.9722167834906238E-3</v>
      </c>
      <c r="AV11">
        <f>Foglio1!$W14</f>
        <v>5.9722167834906238E-3</v>
      </c>
      <c r="AW11">
        <f>Foglio1!$W14</f>
        <v>5.9722167834906238E-3</v>
      </c>
      <c r="AX11">
        <f>Foglio1!$W14</f>
        <v>5.9722167834906238E-3</v>
      </c>
      <c r="AY11">
        <f>Foglio1!$W14</f>
        <v>5.9722167834906238E-3</v>
      </c>
      <c r="AZ11">
        <f>Foglio1!$W14</f>
        <v>5.9722167834906238E-3</v>
      </c>
      <c r="BA11">
        <f>Foglio1!$W14</f>
        <v>5.9722167834906238E-3</v>
      </c>
      <c r="BB11">
        <f>Foglio1!$W14</f>
        <v>5.9722167834906238E-3</v>
      </c>
      <c r="BC11">
        <f>Foglio1!$W14</f>
        <v>5.9722167834906238E-3</v>
      </c>
      <c r="BD11">
        <f>Foglio1!$W14</f>
        <v>5.9722167834906238E-3</v>
      </c>
      <c r="BE11">
        <f>Foglio1!$W14</f>
        <v>5.9722167834906238E-3</v>
      </c>
      <c r="BF11">
        <f>Foglio1!$W14</f>
        <v>5.9722167834906238E-3</v>
      </c>
      <c r="BG11">
        <f>Foglio1!$W14</f>
        <v>5.9722167834906238E-3</v>
      </c>
      <c r="BH11">
        <f>Foglio1!$W14</f>
        <v>5.9722167834906238E-3</v>
      </c>
      <c r="BI11">
        <f>Foglio1!$W14</f>
        <v>5.9722167834906238E-3</v>
      </c>
      <c r="BJ11">
        <f>Foglio1!$W14</f>
        <v>5.9722167834906238E-3</v>
      </c>
      <c r="BK11">
        <f>Foglio1!$W14</f>
        <v>5.9722167834906238E-3</v>
      </c>
      <c r="BL11">
        <f>Foglio1!$W14</f>
        <v>5.9722167834906238E-3</v>
      </c>
      <c r="BM11">
        <f>Foglio1!$W14</f>
        <v>5.9722167834906238E-3</v>
      </c>
      <c r="BN11">
        <f>Foglio1!$W14</f>
        <v>5.9722167834906238E-3</v>
      </c>
      <c r="BO11">
        <f>Foglio1!$W14</f>
        <v>5.9722167834906238E-3</v>
      </c>
      <c r="BP11">
        <f>Foglio1!$W14</f>
        <v>5.9722167834906238E-3</v>
      </c>
      <c r="BQ11">
        <f>Foglio1!$W14</f>
        <v>5.9722167834906238E-3</v>
      </c>
      <c r="BR11">
        <f>Foglio1!$W14</f>
        <v>5.9722167834906238E-3</v>
      </c>
      <c r="BS11">
        <f>Foglio1!$W14</f>
        <v>5.9722167834906238E-3</v>
      </c>
      <c r="BT11">
        <f>Foglio1!$W14</f>
        <v>5.9722167834906238E-3</v>
      </c>
      <c r="BU11">
        <f>Foglio1!$W14</f>
        <v>5.9722167834906238E-3</v>
      </c>
      <c r="BV11">
        <f>Foglio1!$W14</f>
        <v>5.9722167834906238E-3</v>
      </c>
      <c r="BW11">
        <f>Foglio1!$W14</f>
        <v>5.9722167834906238E-3</v>
      </c>
      <c r="BX11">
        <f>Foglio1!$W14</f>
        <v>5.9722167834906238E-3</v>
      </c>
      <c r="BY11">
        <f>Foglio1!$W14</f>
        <v>5.9722167834906238E-3</v>
      </c>
      <c r="BZ11">
        <f>Foglio1!$W14</f>
        <v>5.9722167834906238E-3</v>
      </c>
      <c r="CA11">
        <f>Foglio1!$W14</f>
        <v>5.9722167834906238E-3</v>
      </c>
      <c r="CB11">
        <f>Foglio1!$W14</f>
        <v>5.9722167834906238E-3</v>
      </c>
      <c r="CC11">
        <f>Foglio1!$W14</f>
        <v>5.9722167834906238E-3</v>
      </c>
      <c r="CD11">
        <f>Foglio1!$W14</f>
        <v>5.9722167834906238E-3</v>
      </c>
      <c r="CE11">
        <f>Foglio1!$W14</f>
        <v>5.9722167834906238E-3</v>
      </c>
      <c r="CF11">
        <f>Foglio1!$W14</f>
        <v>5.9722167834906238E-3</v>
      </c>
    </row>
    <row r="12" spans="1:84" x14ac:dyDescent="0.25">
      <c r="A12">
        <v>9</v>
      </c>
      <c r="C12">
        <f>IF(Foglio1!O18&lt;&gt;0,"LK",0)</f>
        <v>0</v>
      </c>
      <c r="D12">
        <f>IF(Foglio1!P18&lt;&gt;0,"HK",0)</f>
        <v>0</v>
      </c>
      <c r="E12">
        <v>9</v>
      </c>
      <c r="F12">
        <f>Foglio1!N18</f>
        <v>0</v>
      </c>
      <c r="L12">
        <f>IF(AND(Foglio1!O18=0,Foglio2!L11=0),0,1)</f>
        <v>1</v>
      </c>
      <c r="M12">
        <f t="shared" si="11"/>
        <v>2</v>
      </c>
      <c r="N12">
        <f>Foglio1!O18</f>
        <v>0</v>
      </c>
      <c r="O12">
        <f>Foglio1!P18</f>
        <v>0</v>
      </c>
      <c r="R12">
        <f>Foglio1!K18</f>
        <v>0</v>
      </c>
      <c r="S12" t="str">
        <f t="shared" si="0"/>
        <v>B</v>
      </c>
      <c r="T12">
        <f t="shared" si="12"/>
        <v>0</v>
      </c>
      <c r="U12">
        <f t="shared" si="13"/>
        <v>0</v>
      </c>
      <c r="V12">
        <v>9</v>
      </c>
      <c r="W12">
        <f t="shared" si="1"/>
        <v>0</v>
      </c>
      <c r="X12">
        <f t="shared" si="2"/>
        <v>0</v>
      </c>
      <c r="Y12">
        <f t="shared" si="3"/>
        <v>0</v>
      </c>
      <c r="Z12">
        <f t="shared" si="4"/>
        <v>0</v>
      </c>
      <c r="AB12" s="7">
        <f t="shared" si="5"/>
        <v>0</v>
      </c>
      <c r="AC12" s="7">
        <f t="shared" si="6"/>
        <v>0</v>
      </c>
      <c r="AD12" s="7">
        <f t="shared" si="14"/>
        <v>0</v>
      </c>
      <c r="AE12" s="7">
        <f t="shared" si="15"/>
        <v>0</v>
      </c>
      <c r="AH12" t="s">
        <v>61</v>
      </c>
      <c r="AI12">
        <f>Foglio1!$W$15</f>
        <v>0</v>
      </c>
      <c r="AJ12">
        <f>Foglio1!$W15</f>
        <v>0</v>
      </c>
      <c r="AK12">
        <f>Foglio1!$W15</f>
        <v>0</v>
      </c>
      <c r="AL12">
        <f>Foglio1!$W15</f>
        <v>0</v>
      </c>
      <c r="AM12">
        <f>Foglio1!$W15</f>
        <v>0</v>
      </c>
      <c r="AN12">
        <f>Foglio1!$W15</f>
        <v>0</v>
      </c>
      <c r="AO12">
        <f>Foglio1!$W15</f>
        <v>0</v>
      </c>
      <c r="AP12">
        <f>Foglio1!$W15</f>
        <v>0</v>
      </c>
      <c r="AQ12">
        <f>Foglio1!$W15</f>
        <v>0</v>
      </c>
      <c r="AR12">
        <f>Foglio1!$W15</f>
        <v>0</v>
      </c>
      <c r="AS12">
        <f>Foglio1!$W15</f>
        <v>0</v>
      </c>
      <c r="AT12">
        <f>Foglio1!$W15</f>
        <v>0</v>
      </c>
      <c r="AU12">
        <f>Foglio1!$W15</f>
        <v>0</v>
      </c>
      <c r="AV12">
        <f>Foglio1!$W15</f>
        <v>0</v>
      </c>
      <c r="AW12">
        <f>Foglio1!$W15</f>
        <v>0</v>
      </c>
      <c r="AX12">
        <f>Foglio1!$W15</f>
        <v>0</v>
      </c>
      <c r="AY12">
        <f>Foglio1!$W15</f>
        <v>0</v>
      </c>
      <c r="AZ12">
        <f>Foglio1!$W15</f>
        <v>0</v>
      </c>
      <c r="BA12">
        <f>Foglio1!$W15</f>
        <v>0</v>
      </c>
      <c r="BB12">
        <f>Foglio1!$W15</f>
        <v>0</v>
      </c>
      <c r="BC12">
        <f>Foglio1!$W15</f>
        <v>0</v>
      </c>
      <c r="BD12">
        <f>Foglio1!$W15</f>
        <v>0</v>
      </c>
      <c r="BE12">
        <f>Foglio1!$W15</f>
        <v>0</v>
      </c>
      <c r="BF12">
        <f>Foglio1!$W15</f>
        <v>0</v>
      </c>
      <c r="BG12">
        <f>Foglio1!$W15</f>
        <v>0</v>
      </c>
      <c r="BH12">
        <f>Foglio1!$W15</f>
        <v>0</v>
      </c>
      <c r="BI12">
        <f>Foglio1!$W15</f>
        <v>0</v>
      </c>
      <c r="BJ12">
        <f>Foglio1!$W15</f>
        <v>0</v>
      </c>
      <c r="BK12">
        <f>Foglio1!$W15</f>
        <v>0</v>
      </c>
      <c r="BL12">
        <f>Foglio1!$W15</f>
        <v>0</v>
      </c>
      <c r="BM12">
        <f>Foglio1!$W15</f>
        <v>0</v>
      </c>
      <c r="BN12">
        <f>Foglio1!$W15</f>
        <v>0</v>
      </c>
      <c r="BO12">
        <f>Foglio1!$W15</f>
        <v>0</v>
      </c>
      <c r="BP12">
        <f>Foglio1!$W15</f>
        <v>0</v>
      </c>
      <c r="BQ12">
        <f>Foglio1!$W15</f>
        <v>0</v>
      </c>
      <c r="BR12">
        <f>Foglio1!$W15</f>
        <v>0</v>
      </c>
      <c r="BS12">
        <f>Foglio1!$W15</f>
        <v>0</v>
      </c>
      <c r="BT12">
        <f>Foglio1!$W15</f>
        <v>0</v>
      </c>
      <c r="BU12">
        <f>Foglio1!$W15</f>
        <v>0</v>
      </c>
      <c r="BV12">
        <f>Foglio1!$W15</f>
        <v>0</v>
      </c>
      <c r="BW12">
        <f>Foglio1!$W15</f>
        <v>0</v>
      </c>
      <c r="BX12">
        <f>Foglio1!$W15</f>
        <v>0</v>
      </c>
      <c r="BY12">
        <f>Foglio1!$W15</f>
        <v>0</v>
      </c>
      <c r="BZ12">
        <f>Foglio1!$W15</f>
        <v>0</v>
      </c>
      <c r="CA12">
        <f>Foglio1!$W15</f>
        <v>0</v>
      </c>
      <c r="CB12">
        <f>Foglio1!$W15</f>
        <v>0</v>
      </c>
      <c r="CC12">
        <f>Foglio1!$W15</f>
        <v>0</v>
      </c>
      <c r="CD12">
        <f>Foglio1!$W15</f>
        <v>0</v>
      </c>
      <c r="CE12">
        <f>Foglio1!$W15</f>
        <v>0</v>
      </c>
      <c r="CF12">
        <f>Foglio1!$W15</f>
        <v>0</v>
      </c>
    </row>
    <row r="13" spans="1:84" x14ac:dyDescent="0.25">
      <c r="A13">
        <v>10</v>
      </c>
      <c r="C13">
        <f>IF(Foglio1!O19&lt;&gt;0,"LK",0)</f>
        <v>0</v>
      </c>
      <c r="D13">
        <f>IF(Foglio1!P19&lt;&gt;0,"HK",0)</f>
        <v>0</v>
      </c>
      <c r="E13">
        <v>10</v>
      </c>
      <c r="F13">
        <f>Foglio1!N19</f>
        <v>0</v>
      </c>
      <c r="L13">
        <f>IF(AND(Foglio1!O19=0,Foglio2!L12=0),0,1)</f>
        <v>1</v>
      </c>
      <c r="M13">
        <f t="shared" si="11"/>
        <v>2</v>
      </c>
      <c r="N13">
        <f>Foglio1!O19</f>
        <v>0</v>
      </c>
      <c r="O13">
        <f>Foglio1!P19</f>
        <v>0</v>
      </c>
      <c r="R13">
        <f>Foglio1!K19</f>
        <v>0</v>
      </c>
      <c r="S13" t="str">
        <f t="shared" si="0"/>
        <v>B</v>
      </c>
      <c r="T13">
        <f t="shared" si="12"/>
        <v>0</v>
      </c>
      <c r="U13">
        <f t="shared" si="13"/>
        <v>0</v>
      </c>
      <c r="V13">
        <v>10</v>
      </c>
      <c r="W13">
        <f t="shared" si="1"/>
        <v>0</v>
      </c>
      <c r="X13">
        <f t="shared" si="2"/>
        <v>0</v>
      </c>
      <c r="Y13">
        <f t="shared" si="3"/>
        <v>0</v>
      </c>
      <c r="Z13">
        <f t="shared" si="4"/>
        <v>0</v>
      </c>
      <c r="AB13" s="7">
        <f t="shared" si="5"/>
        <v>0</v>
      </c>
      <c r="AC13" s="7">
        <f t="shared" si="6"/>
        <v>0</v>
      </c>
      <c r="AD13" s="7">
        <f t="shared" si="14"/>
        <v>0</v>
      </c>
      <c r="AE13" s="7">
        <f t="shared" si="15"/>
        <v>0</v>
      </c>
      <c r="AH13" t="s">
        <v>62</v>
      </c>
      <c r="AI13">
        <f>Foglio1!$W$16</f>
        <v>0</v>
      </c>
      <c r="AJ13">
        <f>Foglio1!$W16</f>
        <v>0</v>
      </c>
      <c r="AK13">
        <f>Foglio1!$W16</f>
        <v>0</v>
      </c>
      <c r="AL13">
        <f>Foglio1!$W16</f>
        <v>0</v>
      </c>
      <c r="AM13">
        <f>Foglio1!$W16</f>
        <v>0</v>
      </c>
      <c r="AN13">
        <f>Foglio1!$W16</f>
        <v>0</v>
      </c>
      <c r="AO13">
        <f>Foglio1!$W16</f>
        <v>0</v>
      </c>
      <c r="AP13">
        <f>Foglio1!$W16</f>
        <v>0</v>
      </c>
      <c r="AQ13">
        <f>Foglio1!$W16</f>
        <v>0</v>
      </c>
      <c r="AR13">
        <f>Foglio1!$W16</f>
        <v>0</v>
      </c>
      <c r="AS13">
        <f>Foglio1!$W16</f>
        <v>0</v>
      </c>
      <c r="AT13">
        <f>Foglio1!$W16</f>
        <v>0</v>
      </c>
      <c r="AU13">
        <f>Foglio1!$W16</f>
        <v>0</v>
      </c>
      <c r="AV13">
        <f>Foglio1!$W16</f>
        <v>0</v>
      </c>
      <c r="AW13">
        <f>Foglio1!$W16</f>
        <v>0</v>
      </c>
      <c r="AX13">
        <f>Foglio1!$W16</f>
        <v>0</v>
      </c>
      <c r="AY13">
        <f>Foglio1!$W16</f>
        <v>0</v>
      </c>
      <c r="AZ13">
        <f>Foglio1!$W16</f>
        <v>0</v>
      </c>
      <c r="BA13">
        <f>Foglio1!$W16</f>
        <v>0</v>
      </c>
      <c r="BB13">
        <f>Foglio1!$W16</f>
        <v>0</v>
      </c>
      <c r="BC13">
        <f>Foglio1!$W16</f>
        <v>0</v>
      </c>
      <c r="BD13">
        <f>Foglio1!$W16</f>
        <v>0</v>
      </c>
      <c r="BE13">
        <f>Foglio1!$W16</f>
        <v>0</v>
      </c>
      <c r="BF13">
        <f>Foglio1!$W16</f>
        <v>0</v>
      </c>
      <c r="BG13">
        <f>Foglio1!$W16</f>
        <v>0</v>
      </c>
      <c r="BH13">
        <f>Foglio1!$W16</f>
        <v>0</v>
      </c>
      <c r="BI13">
        <f>Foglio1!$W16</f>
        <v>0</v>
      </c>
      <c r="BJ13">
        <f>Foglio1!$W16</f>
        <v>0</v>
      </c>
      <c r="BK13">
        <f>Foglio1!$W16</f>
        <v>0</v>
      </c>
      <c r="BL13">
        <f>Foglio1!$W16</f>
        <v>0</v>
      </c>
      <c r="BM13">
        <f>Foglio1!$W16</f>
        <v>0</v>
      </c>
      <c r="BN13">
        <f>Foglio1!$W16</f>
        <v>0</v>
      </c>
      <c r="BO13">
        <f>Foglio1!$W16</f>
        <v>0</v>
      </c>
      <c r="BP13">
        <f>Foglio1!$W16</f>
        <v>0</v>
      </c>
      <c r="BQ13">
        <f>Foglio1!$W16</f>
        <v>0</v>
      </c>
      <c r="BR13">
        <f>Foglio1!$W16</f>
        <v>0</v>
      </c>
      <c r="BS13">
        <f>Foglio1!$W16</f>
        <v>0</v>
      </c>
      <c r="BT13">
        <f>Foglio1!$W16</f>
        <v>0</v>
      </c>
      <c r="BU13">
        <f>Foglio1!$W16</f>
        <v>0</v>
      </c>
      <c r="BV13">
        <f>Foglio1!$W16</f>
        <v>0</v>
      </c>
      <c r="BW13">
        <f>Foglio1!$W16</f>
        <v>0</v>
      </c>
      <c r="BX13">
        <f>Foglio1!$W16</f>
        <v>0</v>
      </c>
      <c r="BY13">
        <f>Foglio1!$W16</f>
        <v>0</v>
      </c>
      <c r="BZ13">
        <f>Foglio1!$W16</f>
        <v>0</v>
      </c>
      <c r="CA13">
        <f>Foglio1!$W16</f>
        <v>0</v>
      </c>
      <c r="CB13">
        <f>Foglio1!$W16</f>
        <v>0</v>
      </c>
      <c r="CC13">
        <f>Foglio1!$W16</f>
        <v>0</v>
      </c>
      <c r="CD13">
        <f>Foglio1!$W16</f>
        <v>0</v>
      </c>
      <c r="CE13">
        <f>Foglio1!$W16</f>
        <v>0</v>
      </c>
      <c r="CF13">
        <f>Foglio1!$W16</f>
        <v>0</v>
      </c>
    </row>
    <row r="14" spans="1:84" x14ac:dyDescent="0.25">
      <c r="AH14" t="s">
        <v>63</v>
      </c>
      <c r="AI14">
        <f>Foglio1!$W$17</f>
        <v>0</v>
      </c>
      <c r="AJ14">
        <f>Foglio1!$W17</f>
        <v>0</v>
      </c>
      <c r="AK14">
        <f>Foglio1!$W17</f>
        <v>0</v>
      </c>
      <c r="AL14">
        <f>Foglio1!$W17</f>
        <v>0</v>
      </c>
      <c r="AM14">
        <f>Foglio1!$W17</f>
        <v>0</v>
      </c>
      <c r="AN14">
        <f>Foglio1!$W17</f>
        <v>0</v>
      </c>
      <c r="AO14">
        <f>Foglio1!$W17</f>
        <v>0</v>
      </c>
      <c r="AP14">
        <f>Foglio1!$W17</f>
        <v>0</v>
      </c>
      <c r="AQ14">
        <f>Foglio1!$W17</f>
        <v>0</v>
      </c>
      <c r="AR14">
        <f>Foglio1!$W17</f>
        <v>0</v>
      </c>
      <c r="AS14">
        <f>Foglio1!$W17</f>
        <v>0</v>
      </c>
      <c r="AT14">
        <f>Foglio1!$W17</f>
        <v>0</v>
      </c>
      <c r="AU14">
        <f>Foglio1!$W17</f>
        <v>0</v>
      </c>
      <c r="AV14">
        <f>Foglio1!$W17</f>
        <v>0</v>
      </c>
      <c r="AW14">
        <f>Foglio1!$W17</f>
        <v>0</v>
      </c>
      <c r="AX14">
        <f>Foglio1!$W17</f>
        <v>0</v>
      </c>
      <c r="AY14">
        <f>Foglio1!$W17</f>
        <v>0</v>
      </c>
      <c r="AZ14">
        <f>Foglio1!$W17</f>
        <v>0</v>
      </c>
      <c r="BA14">
        <f>Foglio1!$W17</f>
        <v>0</v>
      </c>
      <c r="BB14">
        <f>Foglio1!$W17</f>
        <v>0</v>
      </c>
      <c r="BC14">
        <f>Foglio1!$W17</f>
        <v>0</v>
      </c>
      <c r="BD14">
        <f>Foglio1!$W17</f>
        <v>0</v>
      </c>
      <c r="BE14">
        <f>Foglio1!$W17</f>
        <v>0</v>
      </c>
      <c r="BF14">
        <f>Foglio1!$W17</f>
        <v>0</v>
      </c>
      <c r="BG14">
        <f>Foglio1!$W17</f>
        <v>0</v>
      </c>
      <c r="BH14">
        <f>Foglio1!$W17</f>
        <v>0</v>
      </c>
      <c r="BI14">
        <f>Foglio1!$W17</f>
        <v>0</v>
      </c>
      <c r="BJ14">
        <f>Foglio1!$W17</f>
        <v>0</v>
      </c>
      <c r="BK14">
        <f>Foglio1!$W17</f>
        <v>0</v>
      </c>
      <c r="BL14">
        <f>Foglio1!$W17</f>
        <v>0</v>
      </c>
      <c r="BM14">
        <f>Foglio1!$W17</f>
        <v>0</v>
      </c>
      <c r="BN14">
        <f>Foglio1!$W17</f>
        <v>0</v>
      </c>
      <c r="BO14">
        <f>Foglio1!$W17</f>
        <v>0</v>
      </c>
      <c r="BP14">
        <f>Foglio1!$W17</f>
        <v>0</v>
      </c>
      <c r="BQ14">
        <f>Foglio1!$W17</f>
        <v>0</v>
      </c>
      <c r="BR14">
        <f>Foglio1!$W17</f>
        <v>0</v>
      </c>
      <c r="BS14">
        <f>Foglio1!$W17</f>
        <v>0</v>
      </c>
      <c r="BT14">
        <f>Foglio1!$W17</f>
        <v>0</v>
      </c>
      <c r="BU14">
        <f>Foglio1!$W17</f>
        <v>0</v>
      </c>
      <c r="BV14">
        <f>Foglio1!$W17</f>
        <v>0</v>
      </c>
      <c r="BW14">
        <f>Foglio1!$W17</f>
        <v>0</v>
      </c>
      <c r="BX14">
        <f>Foglio1!$W17</f>
        <v>0</v>
      </c>
      <c r="BY14">
        <f>Foglio1!$W17</f>
        <v>0</v>
      </c>
      <c r="BZ14">
        <f>Foglio1!$W17</f>
        <v>0</v>
      </c>
      <c r="CA14">
        <f>Foglio1!$W17</f>
        <v>0</v>
      </c>
      <c r="CB14">
        <f>Foglio1!$W17</f>
        <v>0</v>
      </c>
      <c r="CC14">
        <f>Foglio1!$W17</f>
        <v>0</v>
      </c>
      <c r="CD14">
        <f>Foglio1!$W17</f>
        <v>0</v>
      </c>
      <c r="CE14">
        <f>Foglio1!$W17</f>
        <v>0</v>
      </c>
      <c r="CF14">
        <f>Foglio1!$W17</f>
        <v>0</v>
      </c>
    </row>
    <row r="15" spans="1:84" x14ac:dyDescent="0.25">
      <c r="AH15" t="s">
        <v>64</v>
      </c>
      <c r="AI15">
        <f>Foglio1!$W$18</f>
        <v>0</v>
      </c>
      <c r="AJ15">
        <f>Foglio1!$W18</f>
        <v>0</v>
      </c>
      <c r="AK15">
        <f>Foglio1!$W18</f>
        <v>0</v>
      </c>
      <c r="AL15">
        <f>Foglio1!$W18</f>
        <v>0</v>
      </c>
      <c r="AM15">
        <f>Foglio1!$W18</f>
        <v>0</v>
      </c>
      <c r="AN15">
        <f>Foglio1!$W18</f>
        <v>0</v>
      </c>
      <c r="AO15">
        <f>Foglio1!$W18</f>
        <v>0</v>
      </c>
      <c r="AP15">
        <f>Foglio1!$W18</f>
        <v>0</v>
      </c>
      <c r="AQ15">
        <f>Foglio1!$W18</f>
        <v>0</v>
      </c>
      <c r="AR15">
        <f>Foglio1!$W18</f>
        <v>0</v>
      </c>
      <c r="AS15">
        <f>Foglio1!$W18</f>
        <v>0</v>
      </c>
      <c r="AT15">
        <f>Foglio1!$W18</f>
        <v>0</v>
      </c>
      <c r="AU15">
        <f>Foglio1!$W18</f>
        <v>0</v>
      </c>
      <c r="AV15">
        <f>Foglio1!$W18</f>
        <v>0</v>
      </c>
      <c r="AW15">
        <f>Foglio1!$W18</f>
        <v>0</v>
      </c>
      <c r="AX15">
        <f>Foglio1!$W18</f>
        <v>0</v>
      </c>
      <c r="AY15">
        <f>Foglio1!$W18</f>
        <v>0</v>
      </c>
      <c r="AZ15">
        <f>Foglio1!$W18</f>
        <v>0</v>
      </c>
      <c r="BA15">
        <f>Foglio1!$W18</f>
        <v>0</v>
      </c>
      <c r="BB15">
        <f>Foglio1!$W18</f>
        <v>0</v>
      </c>
      <c r="BC15">
        <f>Foglio1!$W18</f>
        <v>0</v>
      </c>
      <c r="BD15">
        <f>Foglio1!$W18</f>
        <v>0</v>
      </c>
      <c r="BE15">
        <f>Foglio1!$W18</f>
        <v>0</v>
      </c>
      <c r="BF15">
        <f>Foglio1!$W18</f>
        <v>0</v>
      </c>
      <c r="BG15">
        <f>Foglio1!$W18</f>
        <v>0</v>
      </c>
      <c r="BH15">
        <f>Foglio1!$W18</f>
        <v>0</v>
      </c>
      <c r="BI15">
        <f>Foglio1!$W18</f>
        <v>0</v>
      </c>
      <c r="BJ15">
        <f>Foglio1!$W18</f>
        <v>0</v>
      </c>
      <c r="BK15">
        <f>Foglio1!$W18</f>
        <v>0</v>
      </c>
      <c r="BL15">
        <f>Foglio1!$W18</f>
        <v>0</v>
      </c>
      <c r="BM15">
        <f>Foglio1!$W18</f>
        <v>0</v>
      </c>
      <c r="BN15">
        <f>Foglio1!$W18</f>
        <v>0</v>
      </c>
      <c r="BO15">
        <f>Foglio1!$W18</f>
        <v>0</v>
      </c>
      <c r="BP15">
        <f>Foglio1!$W18</f>
        <v>0</v>
      </c>
      <c r="BQ15">
        <f>Foglio1!$W18</f>
        <v>0</v>
      </c>
      <c r="BR15">
        <f>Foglio1!$W18</f>
        <v>0</v>
      </c>
      <c r="BS15">
        <f>Foglio1!$W18</f>
        <v>0</v>
      </c>
      <c r="BT15">
        <f>Foglio1!$W18</f>
        <v>0</v>
      </c>
      <c r="BU15">
        <f>Foglio1!$W18</f>
        <v>0</v>
      </c>
      <c r="BV15">
        <f>Foglio1!$W18</f>
        <v>0</v>
      </c>
      <c r="BW15">
        <f>Foglio1!$W18</f>
        <v>0</v>
      </c>
      <c r="BX15">
        <f>Foglio1!$W18</f>
        <v>0</v>
      </c>
      <c r="BY15">
        <f>Foglio1!$W18</f>
        <v>0</v>
      </c>
      <c r="BZ15">
        <f>Foglio1!$W18</f>
        <v>0</v>
      </c>
      <c r="CA15">
        <f>Foglio1!$W18</f>
        <v>0</v>
      </c>
      <c r="CB15">
        <f>Foglio1!$W18</f>
        <v>0</v>
      </c>
      <c r="CC15">
        <f>Foglio1!$W18</f>
        <v>0</v>
      </c>
      <c r="CD15">
        <f>Foglio1!$W18</f>
        <v>0</v>
      </c>
      <c r="CE15">
        <f>Foglio1!$W18</f>
        <v>0</v>
      </c>
      <c r="CF15">
        <f>Foglio1!$W18</f>
        <v>0</v>
      </c>
    </row>
    <row r="16" spans="1:84" ht="15.75" thickBot="1" x14ac:dyDescent="0.3">
      <c r="I16" t="s">
        <v>37</v>
      </c>
      <c r="L16" t="s">
        <v>0</v>
      </c>
      <c r="O16" t="s">
        <v>41</v>
      </c>
      <c r="R16" t="s">
        <v>42</v>
      </c>
      <c r="AH16" t="s">
        <v>65</v>
      </c>
      <c r="AI16">
        <f>Foglio1!$W$19</f>
        <v>0</v>
      </c>
      <c r="AJ16">
        <f>Foglio1!$W19</f>
        <v>0</v>
      </c>
      <c r="AK16">
        <f>Foglio1!$W19</f>
        <v>0</v>
      </c>
      <c r="AL16">
        <f>Foglio1!$W19</f>
        <v>0</v>
      </c>
      <c r="AM16">
        <f>Foglio1!$W19</f>
        <v>0</v>
      </c>
      <c r="AN16">
        <f>Foglio1!$W19</f>
        <v>0</v>
      </c>
      <c r="AO16">
        <f>Foglio1!$W19</f>
        <v>0</v>
      </c>
      <c r="AP16">
        <f>Foglio1!$W19</f>
        <v>0</v>
      </c>
      <c r="AQ16">
        <f>Foglio1!$W19</f>
        <v>0</v>
      </c>
      <c r="AR16">
        <f>Foglio1!$W19</f>
        <v>0</v>
      </c>
      <c r="AS16">
        <f>Foglio1!$W19</f>
        <v>0</v>
      </c>
      <c r="AT16">
        <f>Foglio1!$W19</f>
        <v>0</v>
      </c>
      <c r="AU16">
        <f>Foglio1!$W19</f>
        <v>0</v>
      </c>
      <c r="AV16">
        <f>Foglio1!$W19</f>
        <v>0</v>
      </c>
      <c r="AW16">
        <f>Foglio1!$W19</f>
        <v>0</v>
      </c>
      <c r="AX16">
        <f>Foglio1!$W19</f>
        <v>0</v>
      </c>
      <c r="AY16">
        <f>Foglio1!$W19</f>
        <v>0</v>
      </c>
      <c r="AZ16">
        <f>Foglio1!$W19</f>
        <v>0</v>
      </c>
      <c r="BA16">
        <f>Foglio1!$W19</f>
        <v>0</v>
      </c>
      <c r="BB16">
        <f>Foglio1!$W19</f>
        <v>0</v>
      </c>
      <c r="BC16">
        <f>Foglio1!$W19</f>
        <v>0</v>
      </c>
      <c r="BD16">
        <f>Foglio1!$W19</f>
        <v>0</v>
      </c>
      <c r="BE16">
        <f>Foglio1!$W19</f>
        <v>0</v>
      </c>
      <c r="BF16">
        <f>Foglio1!$W19</f>
        <v>0</v>
      </c>
      <c r="BG16">
        <f>Foglio1!$W19</f>
        <v>0</v>
      </c>
      <c r="BH16">
        <f>Foglio1!$W19</f>
        <v>0</v>
      </c>
      <c r="BI16">
        <f>Foglio1!$W19</f>
        <v>0</v>
      </c>
      <c r="BJ16">
        <f>Foglio1!$W19</f>
        <v>0</v>
      </c>
      <c r="BK16">
        <f>Foglio1!$W19</f>
        <v>0</v>
      </c>
      <c r="BL16">
        <f>Foglio1!$W19</f>
        <v>0</v>
      </c>
      <c r="BM16">
        <f>Foglio1!$W19</f>
        <v>0</v>
      </c>
      <c r="BN16">
        <f>Foglio1!$W19</f>
        <v>0</v>
      </c>
      <c r="BO16">
        <f>Foglio1!$W19</f>
        <v>0</v>
      </c>
      <c r="BP16">
        <f>Foglio1!$W19</f>
        <v>0</v>
      </c>
      <c r="BQ16">
        <f>Foglio1!$W19</f>
        <v>0</v>
      </c>
      <c r="BR16">
        <f>Foglio1!$W19</f>
        <v>0</v>
      </c>
      <c r="BS16">
        <f>Foglio1!$W19</f>
        <v>0</v>
      </c>
      <c r="BT16">
        <f>Foglio1!$W19</f>
        <v>0</v>
      </c>
      <c r="BU16">
        <f>Foglio1!$W19</f>
        <v>0</v>
      </c>
      <c r="BV16">
        <f>Foglio1!$W19</f>
        <v>0</v>
      </c>
      <c r="BW16">
        <f>Foglio1!$W19</f>
        <v>0</v>
      </c>
      <c r="BX16">
        <f>Foglio1!$W19</f>
        <v>0</v>
      </c>
      <c r="BY16">
        <f>Foglio1!$W19</f>
        <v>0</v>
      </c>
      <c r="BZ16">
        <f>Foglio1!$W19</f>
        <v>0</v>
      </c>
      <c r="CA16">
        <f>Foglio1!$W19</f>
        <v>0</v>
      </c>
      <c r="CB16">
        <f>Foglio1!$W19</f>
        <v>0</v>
      </c>
      <c r="CC16">
        <f>Foglio1!$W19</f>
        <v>0</v>
      </c>
      <c r="CD16">
        <f>Foglio1!$W19</f>
        <v>0</v>
      </c>
      <c r="CE16">
        <f>Foglio1!$W19</f>
        <v>0</v>
      </c>
      <c r="CF16">
        <f>Foglio1!$W19</f>
        <v>0</v>
      </c>
    </row>
    <row r="17" spans="1:84" x14ac:dyDescent="0.25">
      <c r="A17" s="122"/>
      <c r="B17" s="123" t="s">
        <v>48</v>
      </c>
      <c r="C17" s="123"/>
      <c r="D17" s="123"/>
      <c r="E17" s="124"/>
      <c r="G17" s="131"/>
      <c r="I17">
        <f>Y3</f>
        <v>1896.3</v>
      </c>
      <c r="J17">
        <f>Z3</f>
        <v>2303.6999999999998</v>
      </c>
      <c r="L17">
        <f>1-I9/100</f>
        <v>0.97</v>
      </c>
      <c r="M17">
        <f>I8/100</f>
        <v>0.01</v>
      </c>
      <c r="O17">
        <f t="array" ref="O17:P18">MINVERSE(L17:M18)</f>
        <v>1.03125</v>
      </c>
      <c r="P17">
        <v>-1.0416666666666666E-2</v>
      </c>
      <c r="R17">
        <f t="array" ref="R17:S18">TRANSPOSE(O17:P18)</f>
        <v>1.03125</v>
      </c>
      <c r="S17">
        <v>-3.125E-2</v>
      </c>
      <c r="V17" t="s">
        <v>33</v>
      </c>
      <c r="W17" t="s">
        <v>1</v>
      </c>
      <c r="AH17" t="s">
        <v>66</v>
      </c>
      <c r="AI17">
        <f>EXP(Foglio1!$C10-Foglio1!$D10/(Foglio1!$E10+Foglio2!AI$6))*Foglio2!AI7/Foglio1!$D$5</f>
        <v>0.86738523484136043</v>
      </c>
      <c r="AJ17">
        <f>EXP(Foglio1!$C10-Foglio1!$D10/(Foglio1!$E10+Foglio2!AJ$6))*Foglio2!AJ7/Foglio1!$D$5</f>
        <v>0.32621928939500988</v>
      </c>
      <c r="AK17">
        <f>EXP(Foglio1!$C10-Foglio1!$D10/(Foglio1!$E10+Foglio2!AK$6))*Foglio2!AK7/Foglio1!$D$5</f>
        <v>0.55504012563351601</v>
      </c>
      <c r="AL17">
        <f>EXP(Foglio1!$C10-Foglio1!$D10/(Foglio1!$E10+Foglio2!AL$6))*Foglio2!AL7/Foglio1!$D$5</f>
        <v>0.43068750523285482</v>
      </c>
      <c r="AM17">
        <f>EXP(Foglio1!$C10-Foglio1!$D10/(Foglio1!$E10+Foglio2!AM$6))*Foglio2!AM7/Foglio1!$D$5</f>
        <v>0.37604407353536989</v>
      </c>
      <c r="AN17">
        <f>EXP(Foglio1!$C10-Foglio1!$D10/(Foglio1!$E10+Foglio2!AN$6))*Foglio2!AN7/Foglio1!$D$5</f>
        <v>0.35053974603452837</v>
      </c>
      <c r="AO17">
        <f>EXP(Foglio1!$C10-Foglio1!$D10/(Foglio1!$E10+Foglio2!AO$6))*Foglio2!AO7/Foglio1!$D$5</f>
        <v>0.33823288680517133</v>
      </c>
      <c r="AP17">
        <f>EXP(Foglio1!$C10-Foglio1!$D10/(Foglio1!$E10+Foglio2!AP$6))*Foglio2!AP7/Foglio1!$D$5</f>
        <v>0.33218960280373833</v>
      </c>
      <c r="AQ17">
        <f>EXP(Foglio1!$C10-Foglio1!$D10/(Foglio1!$E10+Foglio2!AQ$6))*Foglio2!AQ7/Foglio1!$D$5</f>
        <v>0.33520210177931781</v>
      </c>
      <c r="AR17">
        <f>EXP(Foglio1!$C10-Foglio1!$D10/(Foglio1!$E10+Foglio2!AR$6))*Foglio2!AR7/Foglio1!$D$5</f>
        <v>0.33369356923869742</v>
      </c>
      <c r="AS17">
        <f>EXP(Foglio1!$C10-Foglio1!$D10/(Foglio1!$E10+Foglio2!AS$6))*Foglio2!AS7/Foglio1!$D$5</f>
        <v>0.33294101559674516</v>
      </c>
      <c r="AT17">
        <f>EXP(Foglio1!$C10-Foglio1!$D10/(Foglio1!$E10+Foglio2!AT$6))*Foglio2!AT7/Foglio1!$D$5</f>
        <v>0.33256516663651603</v>
      </c>
      <c r="AU17">
        <f>EXP(Foglio1!$C10-Foglio1!$D10/(Foglio1!$E10+Foglio2!AU$6))*Foglio2!AU7/Foglio1!$D$5</f>
        <v>0.33275305547039846</v>
      </c>
      <c r="AV17">
        <f>EXP(Foglio1!$C10-Foglio1!$D10/(Foglio1!$E10+Foglio2!AV$6))*Foglio2!AV7/Foglio1!$D$5</f>
        <v>0.33284702662135124</v>
      </c>
      <c r="AW17">
        <f>EXP(Foglio1!$C10-Foglio1!$D10/(Foglio1!$E10+Foglio2!AW$6))*Foglio2!AW7/Foglio1!$D$5</f>
        <v>0.33289401888091075</v>
      </c>
      <c r="AX17">
        <f>EXP(Foglio1!$C10-Foglio1!$D10/(Foglio1!$E10+Foglio2!AX$6))*Foglio2!AX7/Foglio1!$D$5</f>
        <v>0.33291751668178321</v>
      </c>
      <c r="AY17">
        <f>EXP(Foglio1!$C10-Foglio1!$D10/(Foglio1!$E10+Foglio2!AY$6))*Foglio2!AY7/Foglio1!$D$5</f>
        <v>0.33290576764208685</v>
      </c>
      <c r="AZ17">
        <f>EXP(Foglio1!$C10-Foglio1!$D10/(Foglio1!$E10+Foglio2!AZ$6))*Foglio2!AZ7/Foglio1!$D$5</f>
        <v>0.33289989322668406</v>
      </c>
      <c r="BA17">
        <f>EXP(Foglio1!$C10-Foglio1!$D10/(Foglio1!$E10+Foglio2!BA$6))*Foglio2!BA7/Foglio1!$D$5</f>
        <v>0.33289695604509345</v>
      </c>
      <c r="BB17">
        <f>EXP(Foglio1!$C10-Foglio1!$D10/(Foglio1!$E10+Foglio2!BB$6))*Foglio2!BB7/Foglio1!$D$5</f>
        <v>0.33289548746082598</v>
      </c>
      <c r="BC17">
        <f>EXP(Foglio1!$C10-Foglio1!$D10/(Foglio1!$E10+Foglio2!BC$6))*Foglio2!BC7/Foglio1!$D$5</f>
        <v>0.33289622175241596</v>
      </c>
      <c r="BD17">
        <f>EXP(Foglio1!$C10-Foglio1!$D10/(Foglio1!$E10+Foglio2!BD$6))*Foglio2!BD7/Foglio1!$D$5</f>
        <v>0.33289658889861873</v>
      </c>
      <c r="BE17">
        <f>EXP(Foglio1!$C10-Foglio1!$D10/(Foglio1!$E10+Foglio2!BE$6))*Foglio2!BE7/Foglio1!$D$5</f>
        <v>0.33289640532548331</v>
      </c>
      <c r="BF17">
        <f>EXP(Foglio1!$C10-Foglio1!$D10/(Foglio1!$E10+Foglio2!BF$6))*Foglio2!BF7/Foglio1!$D$5</f>
        <v>0.33289649711204222</v>
      </c>
      <c r="BG17">
        <f>EXP(Foglio1!$C10-Foglio1!$D10/(Foglio1!$E10+Foglio2!BG$6))*Foglio2!BG7/Foglio1!$D$5</f>
        <v>0.33289654300532884</v>
      </c>
      <c r="BH17">
        <f>EXP(Foglio1!$C10-Foglio1!$D10/(Foglio1!$E10+Foglio2!BH$6))*Foglio2!BH7/Foglio1!$D$5</f>
        <v>0.33289656595197331</v>
      </c>
      <c r="BI17">
        <f>EXP(Foglio1!$C10-Foglio1!$D10/(Foglio1!$E10+Foglio2!BI$6))*Foglio2!BI7/Foglio1!$D$5</f>
        <v>0.33289657742529616</v>
      </c>
      <c r="BJ17">
        <f>EXP(Foglio1!$C10-Foglio1!$D10/(Foglio1!$E10+Foglio2!BJ$6))*Foglio2!BJ7/Foglio1!$D$5</f>
        <v>0.33289657168863412</v>
      </c>
      <c r="BK17">
        <f>EXP(Foglio1!$C10-Foglio1!$D10/(Foglio1!$E10+Foglio2!BK$6))*Foglio2!BK7/Foglio1!$D$5</f>
        <v>0.33289656882030372</v>
      </c>
      <c r="BL17">
        <f>EXP(Foglio1!$C10-Foglio1!$D10/(Foglio1!$E10+Foglio2!BL$6))*Foglio2!BL7/Foglio1!$D$5</f>
        <v>0.33289656738613821</v>
      </c>
      <c r="BM17">
        <f>EXP(Foglio1!$C10-Foglio1!$D10/(Foglio1!$E10+Foglio2!BM$6))*Foglio2!BM7/Foglio1!$D$5</f>
        <v>0.33289656810322094</v>
      </c>
      <c r="BN17">
        <f>EXP(Foglio1!$C10-Foglio1!$D10/(Foglio1!$E10+Foglio2!BN$6))*Foglio2!BN7/Foglio1!$D$5</f>
        <v>0.33289656774467952</v>
      </c>
      <c r="BO17">
        <f>EXP(Foglio1!$C10-Foglio1!$D10/(Foglio1!$E10+Foglio2!BO$6))*Foglio2!BO7/Foglio1!$D$5</f>
        <v>0.3328965675654092</v>
      </c>
      <c r="BP17">
        <f>EXP(Foglio1!$C10-Foglio1!$D10/(Foglio1!$E10+Foglio2!BP$6))*Foglio2!BP7/Foglio1!$D$5</f>
        <v>0.33289656765504438</v>
      </c>
      <c r="BQ17">
        <f>EXP(Foglio1!$C10-Foglio1!$D10/(Foglio1!$E10+Foglio2!BQ$6))*Foglio2!BQ7/Foglio1!$D$5</f>
        <v>0.33289656769986231</v>
      </c>
      <c r="BR17">
        <f>EXP(Foglio1!$C10-Foglio1!$D10/(Foglio1!$E10+Foglio2!BR$6))*Foglio2!BR7/Foglio1!$D$5</f>
        <v>0.33289656767745335</v>
      </c>
      <c r="BS17">
        <f>EXP(Foglio1!$C10-Foglio1!$D10/(Foglio1!$E10+Foglio2!BS$6))*Foglio2!BS7/Foglio1!$D$5</f>
        <v>0.33289656768865755</v>
      </c>
      <c r="BT17">
        <f>EXP(Foglio1!$C10-Foglio1!$D10/(Foglio1!$E10+Foglio2!BT$6))*Foglio2!BT7/Foglio1!$D$5</f>
        <v>0.3328965676942599</v>
      </c>
      <c r="BU17">
        <f>EXP(Foglio1!$C10-Foglio1!$D10/(Foglio1!$E10+Foglio2!BU$6))*Foglio2!BU7/Foglio1!$D$5</f>
        <v>0.33289656769706105</v>
      </c>
      <c r="BV17">
        <f>EXP(Foglio1!$C10-Foglio1!$D10/(Foglio1!$E10+Foglio2!BV$6))*Foglio2!BV7/Foglio1!$D$5</f>
        <v>0.33289656769566078</v>
      </c>
      <c r="BW17">
        <f>EXP(Foglio1!$C10-Foglio1!$D10/(Foglio1!$E10+Foglio2!BW$6))*Foglio2!BW7/Foglio1!$D$5</f>
        <v>0.33289656769636095</v>
      </c>
      <c r="BX17">
        <f>EXP(Foglio1!$C10-Foglio1!$D10/(Foglio1!$E10+Foglio2!BX$6))*Foglio2!BX7/Foglio1!$D$5</f>
        <v>0.33289656769671105</v>
      </c>
      <c r="BY17">
        <f>EXP(Foglio1!$C10-Foglio1!$D10/(Foglio1!$E10+Foglio2!BY$6))*Foglio2!BY7/Foglio1!$D$5</f>
        <v>0.33289656769688608</v>
      </c>
      <c r="BZ17">
        <f>EXP(Foglio1!$C10-Foglio1!$D10/(Foglio1!$E10+Foglio2!BZ$6))*Foglio2!BZ7/Foglio1!$D$5</f>
        <v>0.33289656769697357</v>
      </c>
      <c r="CA17">
        <f>EXP(Foglio1!$C10-Foglio1!$D10/(Foglio1!$E10+Foglio2!CA$6))*Foglio2!CA7/Foglio1!$D$5</f>
        <v>0.33289656769701736</v>
      </c>
      <c r="CB17">
        <f>EXP(Foglio1!$C10-Foglio1!$D10/(Foglio1!$E10+Foglio2!CB$6))*Foglio2!CB7/Foglio1!$D$5</f>
        <v>0.33289656769703857</v>
      </c>
      <c r="CC17">
        <f>EXP(Foglio1!$C10-Foglio1!$D10/(Foglio1!$E10+Foglio2!CC$6))*Foglio2!CC7/Foglio1!$D$5</f>
        <v>0.33289656769702797</v>
      </c>
      <c r="CD17">
        <f>EXP(Foglio1!$C10-Foglio1!$D10/(Foglio1!$E10+Foglio2!CD$6))*Foglio2!CD7/Foglio1!$D$5</f>
        <v>0.33289656769703391</v>
      </c>
      <c r="CE17">
        <f>EXP(Foglio1!$C10-Foglio1!$D10/(Foglio1!$E10+Foglio2!CE$6))*Foglio2!CE7/Foglio1!$D$5</f>
        <v>0.33289656769703624</v>
      </c>
      <c r="CF17">
        <f>EXP(Foglio1!$C10-Foglio1!$D10/(Foglio1!$E10+Foglio2!CF$6))*Foglio2!CF7/Foglio1!$D$5</f>
        <v>0.33289656769703746</v>
      </c>
    </row>
    <row r="18" spans="1:84" x14ac:dyDescent="0.25">
      <c r="A18" s="125"/>
      <c r="B18" s="8" t="s">
        <v>33</v>
      </c>
      <c r="C18" s="8" t="s">
        <v>1</v>
      </c>
      <c r="D18" s="8"/>
      <c r="E18" s="126"/>
      <c r="G18" s="132"/>
      <c r="L18">
        <f>I9/100</f>
        <v>0.03</v>
      </c>
      <c r="M18">
        <f>1-I8/100</f>
        <v>0.99</v>
      </c>
      <c r="O18">
        <v>-3.125E-2</v>
      </c>
      <c r="P18">
        <v>1.0104166666666665</v>
      </c>
      <c r="R18">
        <v>-1.0416666666666666E-2</v>
      </c>
      <c r="S18">
        <v>1.0104166666666665</v>
      </c>
      <c r="V18">
        <f t="array" ref="V18:W18">MMULT(I17:J17,R17:S18)</f>
        <v>1931.5625</v>
      </c>
      <c r="W18">
        <v>2268.4374999999995</v>
      </c>
      <c r="AH18" t="s">
        <v>67</v>
      </c>
      <c r="AI18">
        <f>EXP(Foglio1!$C11-Foglio1!$D11/(Foglio1!$E11+Foglio2!AI$6))*Foglio2!AI8/Foglio1!$D$5</f>
        <v>0.93088971808612908</v>
      </c>
      <c r="AJ18">
        <f>EXP(Foglio1!$C11-Foglio1!$D11/(Foglio1!$E11+Foglio2!AJ$6))*Foglio2!AJ8/Foglio1!$D$5</f>
        <v>0.30541619447572305</v>
      </c>
      <c r="AK18">
        <f>EXP(Foglio1!$C11-Foglio1!$D11/(Foglio1!$E11+Foglio2!AK$6))*Foglio2!AK8/Foglio1!$D$5</f>
        <v>0.56033816843769135</v>
      </c>
      <c r="AL18">
        <f>EXP(Foglio1!$C11-Foglio1!$D11/(Foglio1!$E11+Foglio2!AL$6))*Foglio2!AL8/Foglio1!$D$5</f>
        <v>0.41957868444842472</v>
      </c>
      <c r="AM18">
        <f>EXP(Foglio1!$C11-Foglio1!$D11/(Foglio1!$E11+Foglio2!AM$6))*Foglio2!AM8/Foglio1!$D$5</f>
        <v>0.35933393410637249</v>
      </c>
      <c r="AN18">
        <f>EXP(Foglio1!$C11-Foglio1!$D11/(Foglio1!$E11+Foglio2!AN$6))*Foglio2!AN8/Foglio1!$D$5</f>
        <v>0.33160526836306059</v>
      </c>
      <c r="AO18">
        <f>EXP(Foglio1!$C11-Foglio1!$D11/(Foglio1!$E11+Foglio2!AO$6))*Foglio2!AO8/Foglio1!$D$5</f>
        <v>0.31832097199289366</v>
      </c>
      <c r="AP18">
        <f>EXP(Foglio1!$C11-Foglio1!$D11/(Foglio1!$E11+Foglio2!AP$6))*Foglio2!AP8/Foglio1!$D$5</f>
        <v>0.31182148282802563</v>
      </c>
      <c r="AQ18">
        <f>EXP(Foglio1!$C11-Foglio1!$D11/(Foglio1!$E11+Foglio2!AQ$6))*Foglio2!AQ8/Foglio1!$D$5</f>
        <v>0.31505940973531199</v>
      </c>
      <c r="AR18">
        <f>EXP(Foglio1!$C11-Foglio1!$D11/(Foglio1!$E11+Foglio2!AR$6))*Foglio2!AR8/Foglio1!$D$5</f>
        <v>0.3134374971757698</v>
      </c>
      <c r="AS18">
        <f>EXP(Foglio1!$C11-Foglio1!$D11/(Foglio1!$E11+Foglio2!AS$6))*Foglio2!AS8/Foglio1!$D$5</f>
        <v>0.31262875339030705</v>
      </c>
      <c r="AT18">
        <f>EXP(Foglio1!$C11-Foglio1!$D11/(Foglio1!$E11+Foglio2!AT$6))*Foglio2!AT8/Foglio1!$D$5</f>
        <v>0.31222493403942769</v>
      </c>
      <c r="AU18">
        <f>EXP(Foglio1!$C11-Foglio1!$D11/(Foglio1!$E11+Foglio2!AU$6))*Foglio2!AU8/Foglio1!$D$5</f>
        <v>0.31242679768703596</v>
      </c>
      <c r="AV18">
        <f>EXP(Foglio1!$C11-Foglio1!$D11/(Foglio1!$E11+Foglio2!AV$6))*Foglio2!AV8/Foglio1!$D$5</f>
        <v>0.31252776403041399</v>
      </c>
      <c r="AW18">
        <f>EXP(Foglio1!$C11-Foglio1!$D11/(Foglio1!$E11+Foglio2!AW$6))*Foglio2!AW8/Foglio1!$D$5</f>
        <v>0.31257825583313437</v>
      </c>
      <c r="AX18">
        <f>EXP(Foglio1!$C11-Foglio1!$D11/(Foglio1!$E11+Foglio2!AX$6))*Foglio2!AX8/Foglio1!$D$5</f>
        <v>0.31260350389239389</v>
      </c>
      <c r="AY18">
        <f>EXP(Foglio1!$C11-Foglio1!$D11/(Foglio1!$E11+Foglio2!AY$6))*Foglio2!AY8/Foglio1!$D$5</f>
        <v>0.31259087968293481</v>
      </c>
      <c r="AZ18">
        <f>EXP(Foglio1!$C11-Foglio1!$D11/(Foglio1!$E11+Foglio2!AZ$6))*Foglio2!AZ8/Foglio1!$D$5</f>
        <v>0.31258456771307752</v>
      </c>
      <c r="BA18">
        <f>EXP(Foglio1!$C11-Foglio1!$D11/(Foglio1!$E11+Foglio2!BA$6))*Foglio2!BA8/Foglio1!$D$5</f>
        <v>0.31258141176186632</v>
      </c>
      <c r="BB18">
        <f>EXP(Foglio1!$C11-Foglio1!$D11/(Foglio1!$E11+Foglio2!BB$6))*Foglio2!BB8/Foglio1!$D$5</f>
        <v>0.31257983379469068</v>
      </c>
      <c r="BC18">
        <f>EXP(Foglio1!$C11-Foglio1!$D11/(Foglio1!$E11+Foglio2!BC$6))*Foglio2!BC8/Foglio1!$D$5</f>
        <v>0.31258062277757626</v>
      </c>
      <c r="BD18">
        <f>EXP(Foglio1!$C11-Foglio1!$D11/(Foglio1!$E11+Foglio2!BD$6))*Foglio2!BD8/Foglio1!$D$5</f>
        <v>0.31258101726954562</v>
      </c>
      <c r="BE18">
        <f>EXP(Foglio1!$C11-Foglio1!$D11/(Foglio1!$E11+Foglio2!BE$6))*Foglio2!BE8/Foglio1!$D$5</f>
        <v>0.3125808200235165</v>
      </c>
      <c r="BF18">
        <f>EXP(Foglio1!$C11-Foglio1!$D11/(Foglio1!$E11+Foglio2!BF$6))*Foglio2!BF8/Foglio1!$D$5</f>
        <v>0.31258091864652077</v>
      </c>
      <c r="BG18">
        <f>EXP(Foglio1!$C11-Foglio1!$D11/(Foglio1!$E11+Foglio2!BG$6))*Foglio2!BG8/Foglio1!$D$5</f>
        <v>0.31258096795803075</v>
      </c>
      <c r="BH18">
        <f>EXP(Foglio1!$C11-Foglio1!$D11/(Foglio1!$E11+Foglio2!BH$6))*Foglio2!BH8/Foglio1!$D$5</f>
        <v>0.31258099261378747</v>
      </c>
      <c r="BI18">
        <f>EXP(Foglio1!$C11-Foglio1!$D11/(Foglio1!$E11+Foglio2!BI$6))*Foglio2!BI8/Foglio1!$D$5</f>
        <v>0.31258100494166663</v>
      </c>
      <c r="BJ18">
        <f>EXP(Foglio1!$C11-Foglio1!$D11/(Foglio1!$E11+Foglio2!BJ$6))*Foglio2!BJ8/Foglio1!$D$5</f>
        <v>0.31258099877772699</v>
      </c>
      <c r="BK18">
        <f>EXP(Foglio1!$C11-Foglio1!$D11/(Foglio1!$E11+Foglio2!BK$6))*Foglio2!BK8/Foglio1!$D$5</f>
        <v>0.31258099569575692</v>
      </c>
      <c r="BL18">
        <f>EXP(Foglio1!$C11-Foglio1!$D11/(Foglio1!$E11+Foglio2!BL$6))*Foglio2!BL8/Foglio1!$D$5</f>
        <v>0.3125809941547722</v>
      </c>
      <c r="BM18">
        <f>EXP(Foglio1!$C11-Foglio1!$D11/(Foglio1!$E11+Foglio2!BM$6))*Foglio2!BM8/Foglio1!$D$5</f>
        <v>0.31258099492526459</v>
      </c>
      <c r="BN18">
        <f>EXP(Foglio1!$C11-Foglio1!$D11/(Foglio1!$E11+Foglio2!BN$6))*Foglio2!BN8/Foglio1!$D$5</f>
        <v>0.31258099454001836</v>
      </c>
      <c r="BO18">
        <f>EXP(Foglio1!$C11-Foglio1!$D11/(Foglio1!$E11+Foglio2!BO$6))*Foglio2!BO8/Foglio1!$D$5</f>
        <v>0.31258099434739534</v>
      </c>
      <c r="BP18">
        <f>EXP(Foglio1!$C11-Foglio1!$D11/(Foglio1!$E11+Foglio2!BP$6))*Foglio2!BP8/Foglio1!$D$5</f>
        <v>0.31258099444370713</v>
      </c>
      <c r="BQ18">
        <f>EXP(Foglio1!$C11-Foglio1!$D11/(Foglio1!$E11+Foglio2!BQ$6))*Foglio2!BQ8/Foglio1!$D$5</f>
        <v>0.31258099449186272</v>
      </c>
      <c r="BR18">
        <f>EXP(Foglio1!$C11-Foglio1!$D11/(Foglio1!$E11+Foglio2!BR$6))*Foglio2!BR8/Foglio1!$D$5</f>
        <v>0.31258099446778526</v>
      </c>
      <c r="BS18">
        <f>EXP(Foglio1!$C11-Foglio1!$D11/(Foglio1!$E11+Foglio2!BS$6))*Foglio2!BS8/Foglio1!$D$5</f>
        <v>0.31258099447982368</v>
      </c>
      <c r="BT18">
        <f>EXP(Foglio1!$C11-Foglio1!$D11/(Foglio1!$E11+Foglio2!BT$6))*Foglio2!BT8/Foglio1!$D$5</f>
        <v>0.31258099448584326</v>
      </c>
      <c r="BU18">
        <f>EXP(Foglio1!$C11-Foglio1!$D11/(Foglio1!$E11+Foglio2!BU$6))*Foglio2!BU8/Foglio1!$D$5</f>
        <v>0.31258099448885268</v>
      </c>
      <c r="BV18">
        <f>EXP(Foglio1!$C11-Foglio1!$D11/(Foglio1!$E11+Foglio2!BV$6))*Foglio2!BV8/Foglio1!$D$5</f>
        <v>0.312580994487348</v>
      </c>
      <c r="BW18">
        <f>EXP(Foglio1!$C11-Foglio1!$D11/(Foglio1!$E11+Foglio2!BW$6))*Foglio2!BW8/Foglio1!$D$5</f>
        <v>0.31258099448810095</v>
      </c>
      <c r="BX18">
        <f>EXP(Foglio1!$C11-Foglio1!$D11/(Foglio1!$E11+Foglio2!BX$6))*Foglio2!BX8/Foglio1!$D$5</f>
        <v>0.31258099448847737</v>
      </c>
      <c r="BY18">
        <f>EXP(Foglio1!$C11-Foglio1!$D11/(Foglio1!$E11+Foglio2!BY$6))*Foglio2!BY8/Foglio1!$D$5</f>
        <v>0.31258099448866505</v>
      </c>
      <c r="BZ18">
        <f>EXP(Foglio1!$C11-Foglio1!$D11/(Foglio1!$E11+Foglio2!BZ$6))*Foglio2!BZ8/Foglio1!$D$5</f>
        <v>0.31258099448875942</v>
      </c>
      <c r="CA18">
        <f>EXP(Foglio1!$C11-Foglio1!$D11/(Foglio1!$E11+Foglio2!CA$6))*Foglio2!CA8/Foglio1!$D$5</f>
        <v>0.31258099448880611</v>
      </c>
      <c r="CB18">
        <f>EXP(Foglio1!$C11-Foglio1!$D11/(Foglio1!$E11+Foglio2!CB$6))*Foglio2!CB8/Foglio1!$D$5</f>
        <v>0.31258099448882942</v>
      </c>
      <c r="CC18">
        <f>EXP(Foglio1!$C11-Foglio1!$D11/(Foglio1!$E11+Foglio2!CC$6))*Foglio2!CC8/Foglio1!$D$5</f>
        <v>0.31258099448881715</v>
      </c>
      <c r="CD18">
        <f>EXP(Foglio1!$C11-Foglio1!$D11/(Foglio1!$E11+Foglio2!CD$6))*Foglio2!CD8/Foglio1!$D$5</f>
        <v>0.31258099448882387</v>
      </c>
      <c r="CE18">
        <f>EXP(Foglio1!$C11-Foglio1!$D11/(Foglio1!$E11+Foglio2!CE$6))*Foglio2!CE8/Foglio1!$D$5</f>
        <v>0.31258099448882609</v>
      </c>
      <c r="CF18">
        <f>EXP(Foglio1!$C11-Foglio1!$D11/(Foglio1!$E11+Foglio2!CF$6))*Foglio2!CF8/Foglio1!$D$5</f>
        <v>0.31258099448882831</v>
      </c>
    </row>
    <row r="19" spans="1:84" x14ac:dyDescent="0.25">
      <c r="A19" s="125" t="str">
        <f>Foglio1!I10</f>
        <v>C3</v>
      </c>
      <c r="B19" s="127">
        <f>Foglio1!X26*Foglio1!T10/(Foglio1!G$7*1000)</f>
        <v>207.89999999999995</v>
      </c>
      <c r="C19" s="127">
        <f>AE4</f>
        <v>2.1</v>
      </c>
      <c r="D19" s="8"/>
      <c r="E19" s="126"/>
      <c r="G19" s="132">
        <f xml:space="preserve"> IF(ISERROR(AD4/(Foglio1!T10/Foglio1!G$7)*1000)=TRUE,0,AD4/(Foglio1!T10/Foglio1!G$7))*1000</f>
        <v>2138.3999999999996</v>
      </c>
      <c r="V19" t="s">
        <v>43</v>
      </c>
      <c r="AH19" t="s">
        <v>68</v>
      </c>
      <c r="AI19">
        <f>EXP(Foglio1!$C12-Foglio1!$D12/(Foglio1!$E12+Foglio2!AI$6))*Foglio2!AI9/Foglio1!$D$5</f>
        <v>1.1089555851551047</v>
      </c>
      <c r="AJ19">
        <f>EXP(Foglio1!$C12-Foglio1!$D12/(Foglio1!$E12+Foglio2!AJ$6))*Foglio2!AJ9/Foglio1!$D$5</f>
        <v>0.33711939251684392</v>
      </c>
      <c r="AK19">
        <f>EXP(Foglio1!$C12-Foglio1!$D12/(Foglio1!$E12+Foglio2!AK$6))*Foglio2!AK9/Foglio1!$D$5</f>
        <v>0.64486503850282861</v>
      </c>
      <c r="AL19">
        <f>EXP(Foglio1!$C12-Foglio1!$D12/(Foglio1!$E12+Foglio2!AL$6))*Foglio2!AL9/Foglio1!$D$5</f>
        <v>0.47338857353666031</v>
      </c>
      <c r="AM19">
        <f>EXP(Foglio1!$C12-Foglio1!$D12/(Foglio1!$E12+Foglio2!AM$6))*Foglio2!AM9/Foglio1!$D$5</f>
        <v>0.40111331477409068</v>
      </c>
      <c r="AN19">
        <f>EXP(Foglio1!$C12-Foglio1!$D12/(Foglio1!$E12+Foglio2!AN$6))*Foglio2!AN9/Foglio1!$D$5</f>
        <v>0.36811460781360583</v>
      </c>
      <c r="AO19">
        <f>EXP(Foglio1!$C12-Foglio1!$D12/(Foglio1!$E12+Foglio2!AO$6))*Foglio2!AO9/Foglio1!$D$5</f>
        <v>0.35237078876772887</v>
      </c>
      <c r="AP19">
        <f>EXP(Foglio1!$C12-Foglio1!$D12/(Foglio1!$E12+Foglio2!AP$6))*Foglio2!AP9/Foglio1!$D$5</f>
        <v>0.34468406860882483</v>
      </c>
      <c r="AQ19">
        <f>EXP(Foglio1!$C12-Foglio1!$D12/(Foglio1!$E12+Foglio2!AQ$6))*Foglio2!AQ9/Foglio1!$D$5</f>
        <v>0.34851210671372373</v>
      </c>
      <c r="AR19">
        <f>EXP(Foglio1!$C12-Foglio1!$D12/(Foglio1!$E12+Foglio2!AR$6))*Foglio2!AR9/Foglio1!$D$5</f>
        <v>0.34659426546892297</v>
      </c>
      <c r="AS19">
        <f>EXP(Foglio1!$C12-Foglio1!$D12/(Foglio1!$E12+Foglio2!AS$6))*Foglio2!AS9/Foglio1!$D$5</f>
        <v>0.3456382125290629</v>
      </c>
      <c r="AT19">
        <f>EXP(Foglio1!$C12-Foglio1!$D12/(Foglio1!$E12+Foglio2!AT$6))*Foglio2!AT9/Foglio1!$D$5</f>
        <v>0.34516090207131439</v>
      </c>
      <c r="AU19">
        <f>EXP(Foglio1!$C12-Foglio1!$D12/(Foglio1!$E12+Foglio2!AU$6))*Foglio2!AU9/Foglio1!$D$5</f>
        <v>0.34539949765955141</v>
      </c>
      <c r="AV19">
        <f>EXP(Foglio1!$C12-Foglio1!$D12/(Foglio1!$E12+Foglio2!AV$6))*Foglio2!AV9/Foglio1!$D$5</f>
        <v>0.34551884018211926</v>
      </c>
      <c r="AW19">
        <f>EXP(Foglio1!$C12-Foglio1!$D12/(Foglio1!$E12+Foglio2!AW$6))*Foglio2!AW9/Foglio1!$D$5</f>
        <v>0.34557852262729072</v>
      </c>
      <c r="AX19">
        <f>EXP(Foglio1!$C12-Foglio1!$D12/(Foglio1!$E12+Foglio2!AX$6))*Foglio2!AX9/Foglio1!$D$5</f>
        <v>0.34560836664606959</v>
      </c>
      <c r="AY19">
        <f>EXP(Foglio1!$C12-Foglio1!$D12/(Foglio1!$E12+Foglio2!AY$6))*Foglio2!AY9/Foglio1!$D$5</f>
        <v>0.34559344440365747</v>
      </c>
      <c r="AZ19">
        <f>EXP(Foglio1!$C12-Foglio1!$D12/(Foglio1!$E12+Foglio2!AZ$6))*Foglio2!AZ9/Foglio1!$D$5</f>
        <v>0.3455859834572193</v>
      </c>
      <c r="BA19">
        <f>EXP(Foglio1!$C12-Foglio1!$D12/(Foglio1!$E12+Foglio2!BA$6))*Foglio2!BA9/Foglio1!$D$5</f>
        <v>0.34558225302769124</v>
      </c>
      <c r="BB19">
        <f>EXP(Foglio1!$C12-Foglio1!$D12/(Foglio1!$E12+Foglio2!BB$6))*Foglio2!BB9/Foglio1!$D$5</f>
        <v>0.34558038782385064</v>
      </c>
      <c r="BC19">
        <f>EXP(Foglio1!$C12-Foglio1!$D12/(Foglio1!$E12+Foglio2!BC$6))*Foglio2!BC9/Foglio1!$D$5</f>
        <v>0.34558132042486028</v>
      </c>
      <c r="BD19">
        <f>EXP(Foglio1!$C12-Foglio1!$D12/(Foglio1!$E12+Foglio2!BD$6))*Foglio2!BD9/Foglio1!$D$5</f>
        <v>0.345581786726048</v>
      </c>
      <c r="BE19">
        <f>EXP(Foglio1!$C12-Foglio1!$D12/(Foglio1!$E12+Foglio2!BE$6))*Foglio2!BE9/Foglio1!$D$5</f>
        <v>0.3455815535753976</v>
      </c>
      <c r="BF19">
        <f>EXP(Foglio1!$C12-Foglio1!$D12/(Foglio1!$E12+Foglio2!BF$6))*Foglio2!BF9/Foglio1!$D$5</f>
        <v>0.34558167015070806</v>
      </c>
      <c r="BG19">
        <f>EXP(Foglio1!$C12-Foglio1!$D12/(Foglio1!$E12+Foglio2!BG$6))*Foglio2!BG9/Foglio1!$D$5</f>
        <v>0.34558172843837442</v>
      </c>
      <c r="BH19">
        <f>EXP(Foglio1!$C12-Foglio1!$D12/(Foglio1!$E12+Foglio2!BH$6))*Foglio2!BH9/Foglio1!$D$5</f>
        <v>0.34558175758221055</v>
      </c>
      <c r="BI19">
        <f>EXP(Foglio1!$C12-Foglio1!$D12/(Foglio1!$E12+Foglio2!BI$6))*Foglio2!BI9/Foglio1!$D$5</f>
        <v>0.34558177215412866</v>
      </c>
      <c r="BJ19">
        <f>EXP(Foglio1!$C12-Foglio1!$D12/(Foglio1!$E12+Foglio2!BJ$6))*Foglio2!BJ9/Foglio1!$D$5</f>
        <v>0.34558176486816988</v>
      </c>
      <c r="BK19">
        <f>EXP(Foglio1!$C12-Foglio1!$D12/(Foglio1!$E12+Foglio2!BK$6))*Foglio2!BK9/Foglio1!$D$5</f>
        <v>0.34558176122519024</v>
      </c>
      <c r="BL19">
        <f>EXP(Foglio1!$C12-Foglio1!$D12/(Foglio1!$E12+Foglio2!BL$6))*Foglio2!BL9/Foglio1!$D$5</f>
        <v>0.34558175940370073</v>
      </c>
      <c r="BM19">
        <f>EXP(Foglio1!$C12-Foglio1!$D12/(Foglio1!$E12+Foglio2!BM$6))*Foglio2!BM9/Foglio1!$D$5</f>
        <v>0.34558176031444543</v>
      </c>
      <c r="BN19">
        <f>EXP(Foglio1!$C12-Foglio1!$D12/(Foglio1!$E12+Foglio2!BN$6))*Foglio2!BN9/Foglio1!$D$5</f>
        <v>0.34558175985907302</v>
      </c>
      <c r="BO19">
        <f>EXP(Foglio1!$C12-Foglio1!$D12/(Foglio1!$E12+Foglio2!BO$6))*Foglio2!BO9/Foglio1!$D$5</f>
        <v>0.34558175963138688</v>
      </c>
      <c r="BP19">
        <f>EXP(Foglio1!$C12-Foglio1!$D12/(Foglio1!$E12+Foglio2!BP$6))*Foglio2!BP9/Foglio1!$D$5</f>
        <v>0.34558175974522964</v>
      </c>
      <c r="BQ19">
        <f>EXP(Foglio1!$C12-Foglio1!$D12/(Foglio1!$E12+Foglio2!BQ$6))*Foglio2!BQ9/Foglio1!$D$5</f>
        <v>0.34558175980215078</v>
      </c>
      <c r="BR19">
        <f>EXP(Foglio1!$C12-Foglio1!$D12/(Foglio1!$E12+Foglio2!BR$6))*Foglio2!BR9/Foglio1!$D$5</f>
        <v>0.34558175977369021</v>
      </c>
      <c r="BS19">
        <f>EXP(Foglio1!$C12-Foglio1!$D12/(Foglio1!$E12+Foglio2!BS$6))*Foglio2!BS9/Foglio1!$D$5</f>
        <v>0.34558175978792111</v>
      </c>
      <c r="BT19">
        <f>EXP(Foglio1!$C12-Foglio1!$D12/(Foglio1!$E12+Foglio2!BT$6))*Foglio2!BT9/Foglio1!$D$5</f>
        <v>0.34558175979503591</v>
      </c>
      <c r="BU19">
        <f>EXP(Foglio1!$C12-Foglio1!$D12/(Foglio1!$E12+Foglio2!BU$6))*Foglio2!BU9/Foglio1!$D$5</f>
        <v>0.34558175979859396</v>
      </c>
      <c r="BV19">
        <f>EXP(Foglio1!$C12-Foglio1!$D12/(Foglio1!$E12+Foglio2!BV$6))*Foglio2!BV9/Foglio1!$D$5</f>
        <v>0.34558175979681499</v>
      </c>
      <c r="BW19">
        <f>EXP(Foglio1!$C12-Foglio1!$D12/(Foglio1!$E12+Foglio2!BW$6))*Foglio2!BW9/Foglio1!$D$5</f>
        <v>0.34558175979770445</v>
      </c>
      <c r="BX19">
        <f>EXP(Foglio1!$C12-Foglio1!$D12/(Foglio1!$E12+Foglio2!BX$6))*Foglio2!BX9/Foglio1!$D$5</f>
        <v>0.34558175979814959</v>
      </c>
      <c r="BY19">
        <f>EXP(Foglio1!$C12-Foglio1!$D12/(Foglio1!$E12+Foglio2!BY$6))*Foglio2!BY9/Foglio1!$D$5</f>
        <v>0.34558175979837175</v>
      </c>
      <c r="BZ19">
        <f>EXP(Foglio1!$C12-Foglio1!$D12/(Foglio1!$E12+Foglio2!BZ$6))*Foglio2!BZ9/Foglio1!$D$5</f>
        <v>0.34558175979848221</v>
      </c>
      <c r="CA19">
        <f>EXP(Foglio1!$C12-Foglio1!$D12/(Foglio1!$E12+Foglio2!CA$6))*Foglio2!CA9/Foglio1!$D$5</f>
        <v>0.34558175979853872</v>
      </c>
      <c r="CB19">
        <f>EXP(Foglio1!$C12-Foglio1!$D12/(Foglio1!$E12+Foglio2!CB$6))*Foglio2!CB9/Foglio1!$D$5</f>
        <v>0.3455817597985657</v>
      </c>
      <c r="CC19">
        <f>EXP(Foglio1!$C12-Foglio1!$D12/(Foglio1!$E12+Foglio2!CC$6))*Foglio2!CC9/Foglio1!$D$5</f>
        <v>0.34558175979855221</v>
      </c>
      <c r="CD19">
        <f>EXP(Foglio1!$C12-Foglio1!$D12/(Foglio1!$E12+Foglio2!CD$6))*Foglio2!CD9/Foglio1!$D$5</f>
        <v>0.34558175979855965</v>
      </c>
      <c r="CE19">
        <f>EXP(Foglio1!$C12-Foglio1!$D12/(Foglio1!$E12+Foglio2!CE$6))*Foglio2!CE9/Foglio1!$D$5</f>
        <v>0.34558175979856265</v>
      </c>
      <c r="CF19">
        <f>EXP(Foglio1!$C12-Foglio1!$D12/(Foglio1!$E12+Foglio2!CF$6))*Foglio2!CF9/Foglio1!$D$5</f>
        <v>0.34558175979856387</v>
      </c>
    </row>
    <row r="20" spans="1:84" x14ac:dyDescent="0.25">
      <c r="A20" s="125" t="str">
        <f>Foglio1!I11</f>
        <v>iC4</v>
      </c>
      <c r="B20" s="127">
        <f>Foglio1!X27*Foglio1!T11/(Foglio1!G$7*1000)</f>
        <v>623.69999999999993</v>
      </c>
      <c r="C20" s="127">
        <f t="shared" ref="C20:C28" si="22">AE5</f>
        <v>6.3</v>
      </c>
      <c r="D20" s="8"/>
      <c r="E20" s="126"/>
      <c r="G20" s="132">
        <f xml:space="preserve"> IF(ISERROR(AD5/(Foglio1!T11/Foglio1!G$7)*1000)=TRUE,0,AD5/(Foglio1!T11/Foglio1!G$7))*1000</f>
        <v>4869.3686746987951</v>
      </c>
      <c r="AH20" t="s">
        <v>69</v>
      </c>
      <c r="AI20">
        <f>EXP(Foglio1!$C13-Foglio1!$D13/(Foglio1!$E13+Foglio2!AI$6))*Foglio2!AI10/Foglio1!$D$5</f>
        <v>2.7775450498316392E-2</v>
      </c>
      <c r="AJ20">
        <f>EXP(Foglio1!$C13-Foglio1!$D13/(Foglio1!$E13+Foglio2!AJ$6))*Foglio2!AJ10/Foglio1!$D$5</f>
        <v>7.2426041532611205E-3</v>
      </c>
      <c r="AK20">
        <f>EXP(Foglio1!$C13-Foglio1!$D13/(Foglio1!$E13+Foglio2!AK$6))*Foglio2!AK10/Foglio1!$D$5</f>
        <v>1.5077706364495388E-2</v>
      </c>
      <c r="AL20">
        <f>EXP(Foglio1!$C13-Foglio1!$D13/(Foglio1!$E13+Foglio2!AL$6))*Foglio2!AL10/Foglio1!$D$5</f>
        <v>1.0634171817945303E-2</v>
      </c>
      <c r="AM20">
        <f>EXP(Foglio1!$C13-Foglio1!$D13/(Foglio1!$E13+Foglio2!AM$6))*Foglio2!AM10/Foglio1!$D$5</f>
        <v>8.8172939384398071E-3</v>
      </c>
      <c r="AN20">
        <f>EXP(Foglio1!$C13-Foglio1!$D13/(Foglio1!$E13+Foglio2!AN$6))*Foglio2!AN10/Foglio1!$D$5</f>
        <v>8.0009753298028192E-3</v>
      </c>
      <c r="AO20">
        <f>EXP(Foglio1!$C13-Foglio1!$D13/(Foglio1!$E13+Foglio2!AO$6))*Foglio2!AO10/Foglio1!$D$5</f>
        <v>7.6147083836751034E-3</v>
      </c>
      <c r="AP20">
        <f>EXP(Foglio1!$C13-Foglio1!$D13/(Foglio1!$E13+Foglio2!AP$6))*Foglio2!AP10/Foglio1!$D$5</f>
        <v>7.4269061505660818E-3</v>
      </c>
      <c r="AQ20">
        <f>EXP(Foglio1!$C13-Foglio1!$D13/(Foglio1!$E13+Foglio2!AQ$6))*Foglio2!AQ10/Foglio1!$D$5</f>
        <v>7.5203672118537707E-3</v>
      </c>
      <c r="AR20">
        <f>EXP(Foglio1!$C13-Foglio1!$D13/(Foglio1!$E13+Foglio2!AR$6))*Foglio2!AR10/Foglio1!$D$5</f>
        <v>7.4735269832424409E-3</v>
      </c>
      <c r="AS20">
        <f>EXP(Foglio1!$C13-Foglio1!$D13/(Foglio1!$E13+Foglio2!AS$6))*Foglio2!AS10/Foglio1!$D$5</f>
        <v>7.450189181882793E-3</v>
      </c>
      <c r="AT20">
        <f>EXP(Foglio1!$C13-Foglio1!$D13/(Foglio1!$E13+Foglio2!AT$6))*Foglio2!AT10/Foglio1!$D$5</f>
        <v>7.4385408249021843E-3</v>
      </c>
      <c r="AU20">
        <f>EXP(Foglio1!$C13-Foglio1!$D13/(Foglio1!$E13+Foglio2!AU$6))*Foglio2!AU10/Foglio1!$D$5</f>
        <v>7.4443632924453221E-3</v>
      </c>
      <c r="AV20">
        <f>EXP(Foglio1!$C13-Foglio1!$D13/(Foglio1!$E13+Foglio2!AV$6))*Foglio2!AV10/Foglio1!$D$5</f>
        <v>7.4472758093501821E-3</v>
      </c>
      <c r="AW20">
        <f>EXP(Foglio1!$C13-Foglio1!$D13/(Foglio1!$E13+Foglio2!AW$6))*Foglio2!AW10/Foglio1!$D$5</f>
        <v>7.4487323886533955E-3</v>
      </c>
      <c r="AX20">
        <f>EXP(Foglio1!$C13-Foglio1!$D13/(Foglio1!$E13+Foglio2!AX$6))*Foglio2!AX10/Foglio1!$D$5</f>
        <v>7.4494607585261097E-3</v>
      </c>
      <c r="AY20">
        <f>EXP(Foglio1!$C13-Foglio1!$D13/(Foglio1!$E13+Foglio2!AY$6))*Foglio2!AY10/Foglio1!$D$5</f>
        <v>7.4490965669044172E-3</v>
      </c>
      <c r="AZ20">
        <f>EXP(Foglio1!$C13-Foglio1!$D13/(Foglio1!$E13+Foglio2!AZ$6))*Foglio2!AZ10/Foglio1!$D$5</f>
        <v>7.4489144761075892E-3</v>
      </c>
      <c r="BA20">
        <f>EXP(Foglio1!$C13-Foglio1!$D13/(Foglio1!$E13+Foglio2!BA$6))*Foglio2!BA10/Foglio1!$D$5</f>
        <v>7.4488234319626612E-3</v>
      </c>
      <c r="BB20">
        <f>EXP(Foglio1!$C13-Foglio1!$D13/(Foglio1!$E13+Foglio2!BB$6))*Foglio2!BB10/Foglio1!$D$5</f>
        <v>7.4487779102035707E-3</v>
      </c>
      <c r="BC20">
        <f>EXP(Foglio1!$C13-Foglio1!$D13/(Foglio1!$E13+Foglio2!BC$6))*Foglio2!BC10/Foglio1!$D$5</f>
        <v>7.4488006710570018E-3</v>
      </c>
      <c r="BD20">
        <f>EXP(Foglio1!$C13-Foglio1!$D13/(Foglio1!$E13+Foglio2!BD$6))*Foglio2!BD10/Foglio1!$D$5</f>
        <v>7.4488120515033068E-3</v>
      </c>
      <c r="BE20">
        <f>EXP(Foglio1!$C13-Foglio1!$D13/(Foglio1!$E13+Foglio2!BE$6))*Foglio2!BE10/Foglio1!$D$5</f>
        <v>7.4488063612785172E-3</v>
      </c>
      <c r="BF20">
        <f>EXP(Foglio1!$C13-Foglio1!$D13/(Foglio1!$E13+Foglio2!BF$6))*Foglio2!BF10/Foglio1!$D$5</f>
        <v>7.4488092063904948E-3</v>
      </c>
      <c r="BG20">
        <f>EXP(Foglio1!$C13-Foglio1!$D13/(Foglio1!$E13+Foglio2!BG$6))*Foglio2!BG10/Foglio1!$D$5</f>
        <v>7.4488106289467984E-3</v>
      </c>
      <c r="BH20">
        <f>EXP(Foglio1!$C13-Foglio1!$D13/(Foglio1!$E13+Foglio2!BH$6))*Foglio2!BH10/Foglio1!$D$5</f>
        <v>7.4488113402250257E-3</v>
      </c>
      <c r="BI20">
        <f>EXP(Foglio1!$C13-Foglio1!$D13/(Foglio1!$E13+Foglio2!BI$6))*Foglio2!BI10/Foglio1!$D$5</f>
        <v>7.4488116958641585E-3</v>
      </c>
      <c r="BJ20">
        <f>EXP(Foglio1!$C13-Foglio1!$D13/(Foglio1!$E13+Foglio2!BJ$6))*Foglio2!BJ10/Foglio1!$D$5</f>
        <v>7.4488115180445843E-3</v>
      </c>
      <c r="BK20">
        <f>EXP(Foglio1!$C13-Foglio1!$D13/(Foglio1!$E13+Foglio2!BK$6))*Foglio2!BK10/Foglio1!$D$5</f>
        <v>7.4488114291347968E-3</v>
      </c>
      <c r="BL20">
        <f>EXP(Foglio1!$C13-Foglio1!$D13/(Foglio1!$E13+Foglio2!BL$6))*Foglio2!BL10/Foglio1!$D$5</f>
        <v>7.4488113846799247E-3</v>
      </c>
      <c r="BM20">
        <f>EXP(Foglio1!$C13-Foglio1!$D13/(Foglio1!$E13+Foglio2!BM$6))*Foglio2!BM10/Foglio1!$D$5</f>
        <v>7.4488114069073677E-3</v>
      </c>
      <c r="BN20">
        <f>EXP(Foglio1!$C13-Foglio1!$D13/(Foglio1!$E13+Foglio2!BN$6))*Foglio2!BN10/Foglio1!$D$5</f>
        <v>7.4488113957936397E-3</v>
      </c>
      <c r="BO20">
        <f>EXP(Foglio1!$C13-Foglio1!$D13/(Foglio1!$E13+Foglio2!BO$6))*Foglio2!BO10/Foglio1!$D$5</f>
        <v>7.4488113902367826E-3</v>
      </c>
      <c r="BP20">
        <f>EXP(Foglio1!$C13-Foglio1!$D13/(Foglio1!$E13+Foglio2!BP$6))*Foglio2!BP10/Foglio1!$D$5</f>
        <v>7.448811393015212E-3</v>
      </c>
      <c r="BQ20">
        <f>EXP(Foglio1!$C13-Foglio1!$D13/(Foglio1!$E13+Foglio2!BQ$6))*Foglio2!BQ10/Foglio1!$D$5</f>
        <v>7.4488113944044254E-3</v>
      </c>
      <c r="BR20">
        <f>EXP(Foglio1!$C13-Foglio1!$D13/(Foglio1!$E13+Foglio2!BR$6))*Foglio2!BR10/Foglio1!$D$5</f>
        <v>7.4488113937098118E-3</v>
      </c>
      <c r="BS20">
        <f>EXP(Foglio1!$C13-Foglio1!$D13/(Foglio1!$E13+Foglio2!BS$6))*Foglio2!BS10/Foglio1!$D$5</f>
        <v>7.4488113940571312E-3</v>
      </c>
      <c r="BT20">
        <f>EXP(Foglio1!$C13-Foglio1!$D13/(Foglio1!$E13+Foglio2!BT$6))*Foglio2!BT10/Foglio1!$D$5</f>
        <v>7.4488113942307718E-3</v>
      </c>
      <c r="BU20">
        <f>EXP(Foglio1!$C13-Foglio1!$D13/(Foglio1!$E13+Foglio2!BU$6))*Foglio2!BU10/Foglio1!$D$5</f>
        <v>7.4488113943175982E-3</v>
      </c>
      <c r="BV20">
        <f>EXP(Foglio1!$C13-Foglio1!$D13/(Foglio1!$E13+Foglio2!BV$6))*Foglio2!BV10/Foglio1!$D$5</f>
        <v>7.4488113942741841E-3</v>
      </c>
      <c r="BW20">
        <f>EXP(Foglio1!$C13-Foglio1!$D13/(Foglio1!$E13+Foglio2!BW$6))*Foglio2!BW10/Foglio1!$D$5</f>
        <v>7.4488113942958985E-3</v>
      </c>
      <c r="BX20">
        <f>EXP(Foglio1!$C13-Foglio1!$D13/(Foglio1!$E13+Foglio2!BX$6))*Foglio2!BX10/Foglio1!$D$5</f>
        <v>7.4488113943067492E-3</v>
      </c>
      <c r="BY20">
        <f>EXP(Foglio1!$C13-Foglio1!$D13/(Foglio1!$E13+Foglio2!BY$6))*Foglio2!BY10/Foglio1!$D$5</f>
        <v>7.4488113943121728E-3</v>
      </c>
      <c r="BZ20">
        <f>EXP(Foglio1!$C13-Foglio1!$D13/(Foglio1!$E13+Foglio2!BZ$6))*Foglio2!BZ10/Foglio1!$D$5</f>
        <v>7.4488113943148859E-3</v>
      </c>
      <c r="CA20">
        <f>EXP(Foglio1!$C13-Foglio1!$D13/(Foglio1!$E13+Foglio2!CA$6))*Foglio2!CA10/Foglio1!$D$5</f>
        <v>7.4488113943162494E-3</v>
      </c>
      <c r="CB20">
        <f>EXP(Foglio1!$C13-Foglio1!$D13/(Foglio1!$E13+Foglio2!CB$6))*Foglio2!CB10/Foglio1!$D$5</f>
        <v>7.4488113943169242E-3</v>
      </c>
      <c r="CC20">
        <f>EXP(Foglio1!$C13-Foglio1!$D13/(Foglio1!$E13+Foglio2!CC$6))*Foglio2!CC10/Foglio1!$D$5</f>
        <v>7.4488113943165799E-3</v>
      </c>
      <c r="CD20">
        <f>EXP(Foglio1!$C13-Foglio1!$D13/(Foglio1!$E13+Foglio2!CD$6))*Foglio2!CD10/Foglio1!$D$5</f>
        <v>7.4488113943167516E-3</v>
      </c>
      <c r="CE20">
        <f>EXP(Foglio1!$C13-Foglio1!$D13/(Foglio1!$E13+Foglio2!CE$6))*Foglio2!CE10/Foglio1!$D$5</f>
        <v>7.4488113943168444E-3</v>
      </c>
      <c r="CF20">
        <f>EXP(Foglio1!$C13-Foglio1!$D13/(Foglio1!$E13+Foglio2!CF$6))*Foglio2!CF10/Foglio1!$D$5</f>
        <v>7.4488113943168704E-3</v>
      </c>
    </row>
    <row r="21" spans="1:84" x14ac:dyDescent="0.25">
      <c r="A21" s="125" t="str">
        <f>Foglio1!I12</f>
        <v>C4</v>
      </c>
      <c r="B21" s="127">
        <f>Foglio1!X28*Foglio1!T12/(Foglio1!G$7*1000)</f>
        <v>1027.3156249999997</v>
      </c>
      <c r="C21" s="127">
        <f t="shared" si="22"/>
        <v>22.684374999999996</v>
      </c>
      <c r="D21" s="8"/>
      <c r="E21" s="126"/>
      <c r="G21" s="132">
        <f xml:space="preserve"> IF(ISERROR(AD6/(Foglio1!T12/Foglio1!G$7)*1000)=TRUE,0,AD6/(Foglio1!T12/Foglio1!G$7))*1000</f>
        <v>8020.4882530120467</v>
      </c>
      <c r="Q21">
        <v>1925.065625</v>
      </c>
      <c r="R21">
        <v>2274.9343749999998</v>
      </c>
      <c r="AH21" t="s">
        <v>70</v>
      </c>
      <c r="AI21">
        <f>EXP(Foglio1!$C14-Foglio1!$D14/(Foglio1!$E14+Foglio2!AI$6))*Foglio2!AI11/Foglio1!$D$5</f>
        <v>5.9722167834906264E-3</v>
      </c>
      <c r="AJ21">
        <f>EXP(Foglio1!$C14-Foglio1!$D14/(Foglio1!$E14+Foglio2!AJ$6))*Foglio2!AJ11/Foglio1!$D$5</f>
        <v>1.4483746432815017E-3</v>
      </c>
      <c r="AK21">
        <f>EXP(Foglio1!$C14-Foglio1!$D14/(Foglio1!$E14+Foglio2!AK$6))*Foglio2!AK11/Foglio1!$D$5</f>
        <v>3.136811992539732E-3</v>
      </c>
      <c r="AL21">
        <f>EXP(Foglio1!$C14-Foglio1!$D14/(Foglio1!$E14+Foglio2!AL$6))*Foglio2!AL11/Foglio1!$D$5</f>
        <v>2.171098802749323E-3</v>
      </c>
      <c r="AM21">
        <f>EXP(Foglio1!$C14-Foglio1!$D14/(Foglio1!$E14+Foglio2!AM$6))*Foglio2!AM11/Foglio1!$D$5</f>
        <v>1.7820722162210543E-3</v>
      </c>
      <c r="AN21">
        <f>EXP(Foglio1!$C14-Foglio1!$D14/(Foglio1!$E14+Foglio2!AN$6))*Foglio2!AN11/Foglio1!$D$5</f>
        <v>1.6086413974760868E-3</v>
      </c>
      <c r="AO21">
        <f>EXP(Foglio1!$C14-Foglio1!$D14/(Foglio1!$E14+Foglio2!AO$6))*Foglio2!AO11/Foglio1!$D$5</f>
        <v>1.5269038941764347E-3</v>
      </c>
      <c r="AP21">
        <f>EXP(Foglio1!$C14-Foglio1!$D14/(Foglio1!$E14+Foglio2!AP$6))*Foglio2!AP11/Foglio1!$D$5</f>
        <v>1.4872433831491548E-3</v>
      </c>
      <c r="AQ21">
        <f>EXP(Foglio1!$C14-Foglio1!$D14/(Foglio1!$E14+Foglio2!AQ$6))*Foglio2!AQ11/Foglio1!$D$5</f>
        <v>1.5069740252746427E-3</v>
      </c>
      <c r="AR21">
        <f>EXP(Foglio1!$C14-Foglio1!$D14/(Foglio1!$E14+Foglio2!AR$6))*Foglio2!AR11/Foglio1!$D$5</f>
        <v>1.4970838811938774E-3</v>
      </c>
      <c r="AS21">
        <f>EXP(Foglio1!$C14-Foglio1!$D14/(Foglio1!$E14+Foglio2!AS$6))*Foglio2!AS11/Foglio1!$D$5</f>
        <v>1.4921574364512033E-3</v>
      </c>
      <c r="AT21">
        <f>EXP(Foglio1!$C14-Foglio1!$D14/(Foglio1!$E14+Foglio2!AT$6))*Foglio2!AT11/Foglio1!$D$5</f>
        <v>1.4896988621239378E-3</v>
      </c>
      <c r="AU21">
        <f>EXP(Foglio1!$C14-Foglio1!$D14/(Foglio1!$E14+Foglio2!AU$6))*Foglio2!AU11/Foglio1!$D$5</f>
        <v>1.490927762211801E-3</v>
      </c>
      <c r="AV21">
        <f>EXP(Foglio1!$C14-Foglio1!$D14/(Foglio1!$E14+Foglio2!AV$6))*Foglio2!AV11/Foglio1!$D$5</f>
        <v>1.4915425025429675E-3</v>
      </c>
      <c r="AW21">
        <f>EXP(Foglio1!$C14-Foglio1!$D14/(Foglio1!$E14+Foglio2!AW$6))*Foglio2!AW11/Foglio1!$D$5</f>
        <v>1.4918499452975034E-3</v>
      </c>
      <c r="AX21">
        <f>EXP(Foglio1!$C14-Foglio1!$D14/(Foglio1!$E14+Foglio2!AX$6))*Foglio2!AX11/Foglio1!$D$5</f>
        <v>1.4920036848241505E-3</v>
      </c>
      <c r="AY21">
        <f>EXP(Foglio1!$C14-Foglio1!$D14/(Foglio1!$E14+Foglio2!AY$6))*Foglio2!AY11/Foglio1!$D$5</f>
        <v>1.4919268135483155E-3</v>
      </c>
      <c r="AZ21">
        <f>EXP(Foglio1!$C14-Foglio1!$D14/(Foglio1!$E14+Foglio2!AZ$6))*Foglio2!AZ11/Foglio1!$D$5</f>
        <v>1.4918883790447882E-3</v>
      </c>
      <c r="BA21">
        <f>EXP(Foglio1!$C14-Foglio1!$D14/(Foglio1!$E14+Foglio2!BA$6))*Foglio2!BA11/Foglio1!$D$5</f>
        <v>1.4918691620766146E-3</v>
      </c>
      <c r="BB21">
        <f>EXP(Foglio1!$C14-Foglio1!$D14/(Foglio1!$E14+Foglio2!BB$6))*Foglio2!BB11/Foglio1!$D$5</f>
        <v>1.4918595536634277E-3</v>
      </c>
      <c r="BC21">
        <f>EXP(Foglio1!$C14-Foglio1!$D14/(Foglio1!$E14+Foglio2!BC$6))*Foglio2!BC11/Foglio1!$D$5</f>
        <v>1.4918643578641115E-3</v>
      </c>
      <c r="BD21">
        <f>EXP(Foglio1!$C14-Foglio1!$D14/(Foglio1!$E14+Foglio2!BD$6))*Foglio2!BD11/Foglio1!$D$5</f>
        <v>1.4918667599688876E-3</v>
      </c>
      <c r="BE21">
        <f>EXP(Foglio1!$C14-Foglio1!$D14/(Foglio1!$E14+Foglio2!BE$6))*Foglio2!BE11/Foglio1!$D$5</f>
        <v>1.4918655589161315E-3</v>
      </c>
      <c r="BF21">
        <f>EXP(Foglio1!$C14-Foglio1!$D14/(Foglio1!$E14+Foglio2!BF$6))*Foglio2!BF11/Foglio1!$D$5</f>
        <v>1.4918661594424164E-3</v>
      </c>
      <c r="BG21">
        <f>EXP(Foglio1!$C14-Foglio1!$D14/(Foglio1!$E14+Foglio2!BG$6))*Foglio2!BG11/Foglio1!$D$5</f>
        <v>1.4918664597056285E-3</v>
      </c>
      <c r="BH21">
        <f>EXP(Foglio1!$C14-Foglio1!$D14/(Foglio1!$E14+Foglio2!BH$6))*Foglio2!BH11/Foglio1!$D$5</f>
        <v>1.491866609837252E-3</v>
      </c>
      <c r="BI21">
        <f>EXP(Foglio1!$C14-Foglio1!$D14/(Foglio1!$E14+Foglio2!BI$6))*Foglio2!BI11/Foglio1!$D$5</f>
        <v>1.4918666849030664E-3</v>
      </c>
      <c r="BJ21">
        <f>EXP(Foglio1!$C14-Foglio1!$D14/(Foglio1!$E14+Foglio2!BJ$6))*Foglio2!BJ11/Foglio1!$D$5</f>
        <v>1.49186664737016E-3</v>
      </c>
      <c r="BK21">
        <f>EXP(Foglio1!$C14-Foglio1!$D14/(Foglio1!$E14+Foglio2!BK$6))*Foglio2!BK11/Foglio1!$D$5</f>
        <v>1.4918666286037033E-3</v>
      </c>
      <c r="BL21">
        <f>EXP(Foglio1!$C14-Foglio1!$D14/(Foglio1!$E14+Foglio2!BL$6))*Foglio2!BL11/Foglio1!$D$5</f>
        <v>1.4918666192204801E-3</v>
      </c>
      <c r="BM21">
        <f>EXP(Foglio1!$C14-Foglio1!$D14/(Foglio1!$E14+Foglio2!BM$6))*Foglio2!BM11/Foglio1!$D$5</f>
        <v>1.491866623912094E-3</v>
      </c>
      <c r="BN21">
        <f>EXP(Foglio1!$C14-Foglio1!$D14/(Foglio1!$E14+Foglio2!BN$6))*Foglio2!BN11/Foglio1!$D$5</f>
        <v>1.4918666215662873E-3</v>
      </c>
      <c r="BO21">
        <f>EXP(Foglio1!$C14-Foglio1!$D14/(Foglio1!$E14+Foglio2!BO$6))*Foglio2!BO11/Foglio1!$D$5</f>
        <v>1.4918666203933822E-3</v>
      </c>
      <c r="BP21">
        <f>EXP(Foglio1!$C14-Foglio1!$D14/(Foglio1!$E14+Foglio2!BP$6))*Foglio2!BP11/Foglio1!$D$5</f>
        <v>1.4918666209798334E-3</v>
      </c>
      <c r="BQ21">
        <f>EXP(Foglio1!$C14-Foglio1!$D14/(Foglio1!$E14+Foglio2!BQ$6))*Foglio2!BQ11/Foglio1!$D$5</f>
        <v>1.4918666212730605E-3</v>
      </c>
      <c r="BR21">
        <f>EXP(Foglio1!$C14-Foglio1!$D14/(Foglio1!$E14+Foglio2!BR$6))*Foglio2!BR11/Foglio1!$D$5</f>
        <v>1.491866621126447E-3</v>
      </c>
      <c r="BS21">
        <f>EXP(Foglio1!$C14-Foglio1!$D14/(Foglio1!$E14+Foglio2!BS$6))*Foglio2!BS11/Foglio1!$D$5</f>
        <v>1.4918666211997536E-3</v>
      </c>
      <c r="BT21">
        <f>EXP(Foglio1!$C14-Foglio1!$D14/(Foglio1!$E14+Foglio2!BT$6))*Foglio2!BT11/Foglio1!$D$5</f>
        <v>1.4918666212364044E-3</v>
      </c>
      <c r="BU21">
        <f>EXP(Foglio1!$C14-Foglio1!$D14/(Foglio1!$E14+Foglio2!BU$6))*Foglio2!BU11/Foglio1!$D$5</f>
        <v>1.4918666212547322E-3</v>
      </c>
      <c r="BV21">
        <f>EXP(Foglio1!$C14-Foglio1!$D14/(Foglio1!$E14+Foglio2!BV$6))*Foglio2!BV11/Foglio1!$D$5</f>
        <v>1.4918666212455686E-3</v>
      </c>
      <c r="BW21">
        <f>EXP(Foglio1!$C14-Foglio1!$D14/(Foglio1!$E14+Foglio2!BW$6))*Foglio2!BW11/Foglio1!$D$5</f>
        <v>1.491866621250153E-3</v>
      </c>
      <c r="BX21">
        <f>EXP(Foglio1!$C14-Foglio1!$D14/(Foglio1!$E14+Foglio2!BX$6))*Foglio2!BX11/Foglio1!$D$5</f>
        <v>1.4918666212524424E-3</v>
      </c>
      <c r="BY21">
        <f>EXP(Foglio1!$C14-Foglio1!$D14/(Foglio1!$E14+Foglio2!BY$6))*Foglio2!BY11/Foglio1!$D$5</f>
        <v>1.4918666212535873E-3</v>
      </c>
      <c r="BZ21">
        <f>EXP(Foglio1!$C14-Foglio1!$D14/(Foglio1!$E14+Foglio2!BZ$6))*Foglio2!BZ11/Foglio1!$D$5</f>
        <v>1.49186662125416E-3</v>
      </c>
      <c r="CA21">
        <f>EXP(Foglio1!$C14-Foglio1!$D14/(Foglio1!$E14+Foglio2!CA$6))*Foglio2!CA11/Foglio1!$D$5</f>
        <v>1.4918666212544488E-3</v>
      </c>
      <c r="CB21">
        <f>EXP(Foglio1!$C14-Foglio1!$D14/(Foglio1!$E14+Foglio2!CB$6))*Foglio2!CB11/Foglio1!$D$5</f>
        <v>1.4918666212545893E-3</v>
      </c>
      <c r="CC21">
        <f>EXP(Foglio1!$C14-Foglio1!$D14/(Foglio1!$E14+Foglio2!CC$6))*Foglio2!CC11/Foglio1!$D$5</f>
        <v>1.4918666212545178E-3</v>
      </c>
      <c r="CD21">
        <f>EXP(Foglio1!$C14-Foglio1!$D14/(Foglio1!$E14+Foglio2!CD$6))*Foglio2!CD11/Foglio1!$D$5</f>
        <v>1.4918666212545549E-3</v>
      </c>
      <c r="CE21">
        <f>EXP(Foglio1!$C14-Foglio1!$D14/(Foglio1!$E14+Foglio2!CE$6))*Foglio2!CE11/Foglio1!$D$5</f>
        <v>1.4918666212545733E-3</v>
      </c>
      <c r="CF21">
        <f>EXP(Foglio1!$C14-Foglio1!$D14/(Foglio1!$E14+Foglio2!CF$6))*Foglio2!CF11/Foglio1!$D$5</f>
        <v>1.4918666212545811E-3</v>
      </c>
    </row>
    <row r="22" spans="1:84" x14ac:dyDescent="0.25">
      <c r="A22" s="125" t="str">
        <f>Foglio1!I13</f>
        <v>iC5</v>
      </c>
      <c r="B22" s="127">
        <f>Foglio1!X29*Foglio1!T13/(Foglio1!G$7*1000)</f>
        <v>57.946874999999999</v>
      </c>
      <c r="C22" s="127">
        <f t="shared" si="22"/>
        <v>782.05312500000002</v>
      </c>
      <c r="D22" s="8"/>
      <c r="E22" s="126"/>
      <c r="G22" s="132">
        <f xml:space="preserve"> IF(ISERROR(AD7/(Foglio1!T13/Foglio1!G$7)*1000)=TRUE,0,AD7/(Foglio1!T13/Foglio1!G$7))*1000</f>
        <v>364.55898058252427</v>
      </c>
      <c r="AH22" t="s">
        <v>71</v>
      </c>
      <c r="AI22">
        <f>EXP(Foglio1!$C15-Foglio1!$D15/(Foglio1!$E15+Foglio2!AI$6))*Foglio2!AI12/Foglio1!$D$5</f>
        <v>0</v>
      </c>
      <c r="AJ22">
        <f>EXP(Foglio1!$C15-Foglio1!$D15/(Foglio1!$E15+Foglio2!AJ$6))*Foglio2!AJ12/Foglio1!$D$5</f>
        <v>0</v>
      </c>
      <c r="AK22">
        <f>EXP(Foglio1!$C15-Foglio1!$D15/(Foglio1!$E15+Foglio2!AK$6))*Foglio2!AK12/Foglio1!$D$5</f>
        <v>0</v>
      </c>
      <c r="AL22">
        <f>EXP(Foglio1!$C15-Foglio1!$D15/(Foglio1!$E15+Foglio2!AL$6))*Foglio2!AL12/Foglio1!$D$5</f>
        <v>0</v>
      </c>
      <c r="AM22">
        <f>EXP(Foglio1!$C15-Foglio1!$D15/(Foglio1!$E15+Foglio2!AM$6))*Foglio2!AM12/Foglio1!$D$5</f>
        <v>0</v>
      </c>
      <c r="AN22">
        <f>EXP(Foglio1!$C15-Foglio1!$D15/(Foglio1!$E15+Foglio2!AN$6))*Foglio2!AN12/Foglio1!$D$5</f>
        <v>0</v>
      </c>
      <c r="AO22">
        <f>EXP(Foglio1!$C15-Foglio1!$D15/(Foglio1!$E15+Foglio2!AO$6))*Foglio2!AO12/Foglio1!$D$5</f>
        <v>0</v>
      </c>
      <c r="AP22">
        <f>EXP(Foglio1!$C15-Foglio1!$D15/(Foglio1!$E15+Foglio2!AP$6))*Foglio2!AP12/Foglio1!$D$5</f>
        <v>0</v>
      </c>
      <c r="AQ22">
        <f>EXP(Foglio1!$C15-Foglio1!$D15/(Foglio1!$E15+Foglio2!AQ$6))*Foglio2!AQ12/Foglio1!$D$5</f>
        <v>0</v>
      </c>
      <c r="AR22">
        <f>EXP(Foglio1!$C15-Foglio1!$D15/(Foglio1!$E15+Foglio2!AR$6))*Foglio2!AR12/Foglio1!$D$5</f>
        <v>0</v>
      </c>
      <c r="AS22">
        <f>EXP(Foglio1!$C15-Foglio1!$D15/(Foglio1!$E15+Foglio2!AS$6))*Foglio2!AS12/Foglio1!$D$5</f>
        <v>0</v>
      </c>
      <c r="AT22">
        <f>EXP(Foglio1!$C15-Foglio1!$D15/(Foglio1!$E15+Foglio2!AT$6))*Foglio2!AT12/Foglio1!$D$5</f>
        <v>0</v>
      </c>
      <c r="AU22">
        <f>EXP(Foglio1!$C15-Foglio1!$D15/(Foglio1!$E15+Foglio2!AU$6))*Foglio2!AU12/Foglio1!$D$5</f>
        <v>0</v>
      </c>
      <c r="AV22">
        <f>EXP(Foglio1!$C15-Foglio1!$D15/(Foglio1!$E15+Foglio2!AV$6))*Foglio2!AV12/Foglio1!$D$5</f>
        <v>0</v>
      </c>
      <c r="AW22">
        <f>EXP(Foglio1!$C15-Foglio1!$D15/(Foglio1!$E15+Foglio2!AW$6))*Foglio2!AW12/Foglio1!$D$5</f>
        <v>0</v>
      </c>
      <c r="AX22">
        <f>EXP(Foglio1!$C15-Foglio1!$D15/(Foglio1!$E15+Foglio2!AX$6))*Foglio2!AX12/Foglio1!$D$5</f>
        <v>0</v>
      </c>
      <c r="AY22">
        <f>EXP(Foglio1!$C15-Foglio1!$D15/(Foglio1!$E15+Foglio2!AY$6))*Foglio2!AY12/Foglio1!$D$5</f>
        <v>0</v>
      </c>
      <c r="AZ22">
        <f>EXP(Foglio1!$C15-Foglio1!$D15/(Foglio1!$E15+Foglio2!AZ$6))*Foglio2!AZ12/Foglio1!$D$5</f>
        <v>0</v>
      </c>
      <c r="BA22">
        <f>EXP(Foglio1!$C15-Foglio1!$D15/(Foglio1!$E15+Foglio2!BA$6))*Foglio2!BA12/Foglio1!$D$5</f>
        <v>0</v>
      </c>
      <c r="BB22">
        <f>EXP(Foglio1!$C15-Foglio1!$D15/(Foglio1!$E15+Foglio2!BB$6))*Foglio2!BB12/Foglio1!$D$5</f>
        <v>0</v>
      </c>
      <c r="BC22">
        <f>EXP(Foglio1!$C15-Foglio1!$D15/(Foglio1!$E15+Foglio2!BC$6))*Foglio2!BC12/Foglio1!$D$5</f>
        <v>0</v>
      </c>
      <c r="BD22">
        <f>EXP(Foglio1!$C15-Foglio1!$D15/(Foglio1!$E15+Foglio2!BD$6))*Foglio2!BD12/Foglio1!$D$5</f>
        <v>0</v>
      </c>
      <c r="BE22">
        <f>EXP(Foglio1!$C15-Foglio1!$D15/(Foglio1!$E15+Foglio2!BE$6))*Foglio2!BE12/Foglio1!$D$5</f>
        <v>0</v>
      </c>
      <c r="BF22">
        <f>EXP(Foglio1!$C15-Foglio1!$D15/(Foglio1!$E15+Foglio2!BF$6))*Foglio2!BF12/Foglio1!$D$5</f>
        <v>0</v>
      </c>
      <c r="BG22">
        <f>EXP(Foglio1!$C15-Foglio1!$D15/(Foglio1!$E15+Foglio2!BG$6))*Foglio2!BG12/Foglio1!$D$5</f>
        <v>0</v>
      </c>
      <c r="BH22">
        <f>EXP(Foglio1!$C15-Foglio1!$D15/(Foglio1!$E15+Foglio2!BH$6))*Foglio2!BH12/Foglio1!$D$5</f>
        <v>0</v>
      </c>
      <c r="BI22">
        <f>EXP(Foglio1!$C15-Foglio1!$D15/(Foglio1!$E15+Foglio2!BI$6))*Foglio2!BI12/Foglio1!$D$5</f>
        <v>0</v>
      </c>
      <c r="BJ22">
        <f>EXP(Foglio1!$C15-Foglio1!$D15/(Foglio1!$E15+Foglio2!BJ$6))*Foglio2!BJ12/Foglio1!$D$5</f>
        <v>0</v>
      </c>
      <c r="BK22">
        <f>EXP(Foglio1!$C15-Foglio1!$D15/(Foglio1!$E15+Foglio2!BK$6))*Foglio2!BK12/Foglio1!$D$5</f>
        <v>0</v>
      </c>
      <c r="BL22">
        <f>EXP(Foglio1!$C15-Foglio1!$D15/(Foglio1!$E15+Foglio2!BL$6))*Foglio2!BL12/Foglio1!$D$5</f>
        <v>0</v>
      </c>
      <c r="BM22">
        <f>EXP(Foglio1!$C15-Foglio1!$D15/(Foglio1!$E15+Foglio2!BM$6))*Foglio2!BM12/Foglio1!$D$5</f>
        <v>0</v>
      </c>
      <c r="BN22">
        <f>EXP(Foglio1!$C15-Foglio1!$D15/(Foglio1!$E15+Foglio2!BN$6))*Foglio2!BN12/Foglio1!$D$5</f>
        <v>0</v>
      </c>
      <c r="BO22">
        <f>EXP(Foglio1!$C15-Foglio1!$D15/(Foglio1!$E15+Foglio2!BO$6))*Foglio2!BO12/Foglio1!$D$5</f>
        <v>0</v>
      </c>
      <c r="BP22">
        <f>EXP(Foglio1!$C15-Foglio1!$D15/(Foglio1!$E15+Foglio2!BP$6))*Foglio2!BP12/Foglio1!$D$5</f>
        <v>0</v>
      </c>
      <c r="BQ22">
        <f>EXP(Foglio1!$C15-Foglio1!$D15/(Foglio1!$E15+Foglio2!BQ$6))*Foglio2!BQ12/Foglio1!$D$5</f>
        <v>0</v>
      </c>
      <c r="BR22">
        <f>EXP(Foglio1!$C15-Foglio1!$D15/(Foglio1!$E15+Foglio2!BR$6))*Foglio2!BR12/Foglio1!$D$5</f>
        <v>0</v>
      </c>
      <c r="BS22">
        <f>EXP(Foglio1!$C15-Foglio1!$D15/(Foglio1!$E15+Foglio2!BS$6))*Foglio2!BS12/Foglio1!$D$5</f>
        <v>0</v>
      </c>
      <c r="BT22">
        <f>EXP(Foglio1!$C15-Foglio1!$D15/(Foglio1!$E15+Foglio2!BT$6))*Foglio2!BT12/Foglio1!$D$5</f>
        <v>0</v>
      </c>
      <c r="BU22">
        <f>EXP(Foglio1!$C15-Foglio1!$D15/(Foglio1!$E15+Foglio2!BU$6))*Foglio2!BU12/Foglio1!$D$5</f>
        <v>0</v>
      </c>
      <c r="BV22">
        <f>EXP(Foglio1!$C15-Foglio1!$D15/(Foglio1!$E15+Foglio2!BV$6))*Foglio2!BV12/Foglio1!$D$5</f>
        <v>0</v>
      </c>
      <c r="BW22">
        <f>EXP(Foglio1!$C15-Foglio1!$D15/(Foglio1!$E15+Foglio2!BW$6))*Foglio2!BW12/Foglio1!$D$5</f>
        <v>0</v>
      </c>
      <c r="BX22">
        <f>EXP(Foglio1!$C15-Foglio1!$D15/(Foglio1!$E15+Foglio2!BX$6))*Foglio2!BX12/Foglio1!$D$5</f>
        <v>0</v>
      </c>
      <c r="BY22">
        <f>EXP(Foglio1!$C15-Foglio1!$D15/(Foglio1!$E15+Foglio2!BY$6))*Foglio2!BY12/Foglio1!$D$5</f>
        <v>0</v>
      </c>
      <c r="BZ22">
        <f>EXP(Foglio1!$C15-Foglio1!$D15/(Foglio1!$E15+Foglio2!BZ$6))*Foglio2!BZ12/Foglio1!$D$5</f>
        <v>0</v>
      </c>
      <c r="CA22">
        <f>EXP(Foglio1!$C15-Foglio1!$D15/(Foglio1!$E15+Foglio2!CA$6))*Foglio2!CA12/Foglio1!$D$5</f>
        <v>0</v>
      </c>
      <c r="CB22">
        <f>EXP(Foglio1!$C15-Foglio1!$D15/(Foglio1!$E15+Foglio2!CB$6))*Foglio2!CB12/Foglio1!$D$5</f>
        <v>0</v>
      </c>
      <c r="CC22">
        <f>EXP(Foglio1!$C15-Foglio1!$D15/(Foglio1!$E15+Foglio2!CC$6))*Foglio2!CC12/Foglio1!$D$5</f>
        <v>0</v>
      </c>
      <c r="CD22">
        <f>EXP(Foglio1!$C15-Foglio1!$D15/(Foglio1!$E15+Foglio2!CD$6))*Foglio2!CD12/Foglio1!$D$5</f>
        <v>0</v>
      </c>
      <c r="CE22">
        <f>EXP(Foglio1!$C15-Foglio1!$D15/(Foglio1!$E15+Foglio2!CE$6))*Foglio2!CE12/Foglio1!$D$5</f>
        <v>0</v>
      </c>
      <c r="CF22">
        <f>EXP(Foglio1!$C15-Foglio1!$D15/(Foglio1!$E15+Foglio2!CF$6))*Foglio2!CF12/Foglio1!$D$5</f>
        <v>0</v>
      </c>
    </row>
    <row r="23" spans="1:84" x14ac:dyDescent="0.25">
      <c r="A23" s="125" t="str">
        <f>Foglio1!I14</f>
        <v>C5</v>
      </c>
      <c r="B23" s="127">
        <f>Foglio1!X30*Foglio1!T14/(Foglio1!G$7*1000)</f>
        <v>14.700000000000001</v>
      </c>
      <c r="C23" s="127">
        <f t="shared" si="22"/>
        <v>1455.3</v>
      </c>
      <c r="D23" s="8"/>
      <c r="E23" s="126"/>
      <c r="G23" s="132">
        <f xml:space="preserve"> IF(ISERROR(AD8/(Foglio1!T14/Foglio1!G$7)*1000)=TRUE,0,AD8/(Foglio1!T14/Foglio1!G$7))*1000</f>
        <v>92.481553398058267</v>
      </c>
      <c r="AH23" t="s">
        <v>72</v>
      </c>
      <c r="AI23">
        <f>EXP(Foglio1!$C16-Foglio1!$D16/(Foglio1!$E16+Foglio2!AI$6))*Foglio2!AI13/Foglio1!$D$5</f>
        <v>0</v>
      </c>
      <c r="AJ23">
        <f>EXP(Foglio1!$C16-Foglio1!$D16/(Foglio1!$E16+Foglio2!AJ$6))*Foglio2!AJ13/Foglio1!$D$5</f>
        <v>0</v>
      </c>
      <c r="AK23">
        <f>EXP(Foglio1!$C16-Foglio1!$D16/(Foglio1!$E16+Foglio2!AK$6))*Foglio2!AK13/Foglio1!$D$5</f>
        <v>0</v>
      </c>
      <c r="AL23">
        <f>EXP(Foglio1!$C16-Foglio1!$D16/(Foglio1!$E16+Foglio2!AL$6))*Foglio2!AL13/Foglio1!$D$5</f>
        <v>0</v>
      </c>
      <c r="AM23">
        <f>EXP(Foglio1!$C16-Foglio1!$D16/(Foglio1!$E16+Foglio2!AM$6))*Foglio2!AM13/Foglio1!$D$5</f>
        <v>0</v>
      </c>
      <c r="AN23">
        <f>EXP(Foglio1!$C16-Foglio1!$D16/(Foglio1!$E16+Foglio2!AN$6))*Foglio2!AN13/Foglio1!$D$5</f>
        <v>0</v>
      </c>
      <c r="AO23">
        <f>EXP(Foglio1!$C16-Foglio1!$D16/(Foglio1!$E16+Foglio2!AO$6))*Foglio2!AO13/Foglio1!$D$5</f>
        <v>0</v>
      </c>
      <c r="AP23">
        <f>EXP(Foglio1!$C16-Foglio1!$D16/(Foglio1!$E16+Foglio2!AP$6))*Foglio2!AP13/Foglio1!$D$5</f>
        <v>0</v>
      </c>
      <c r="AQ23">
        <f>EXP(Foglio1!$C16-Foglio1!$D16/(Foglio1!$E16+Foglio2!AQ$6))*Foglio2!AQ13/Foglio1!$D$5</f>
        <v>0</v>
      </c>
      <c r="AR23">
        <f>EXP(Foglio1!$C16-Foglio1!$D16/(Foglio1!$E16+Foglio2!AR$6))*Foglio2!AR13/Foglio1!$D$5</f>
        <v>0</v>
      </c>
      <c r="AS23">
        <f>EXP(Foglio1!$C16-Foglio1!$D16/(Foglio1!$E16+Foglio2!AS$6))*Foglio2!AS13/Foglio1!$D$5</f>
        <v>0</v>
      </c>
      <c r="AT23">
        <f>EXP(Foglio1!$C16-Foglio1!$D16/(Foglio1!$E16+Foglio2!AT$6))*Foglio2!AT13/Foglio1!$D$5</f>
        <v>0</v>
      </c>
      <c r="AU23">
        <f>EXP(Foglio1!$C16-Foglio1!$D16/(Foglio1!$E16+Foglio2!AU$6))*Foglio2!AU13/Foglio1!$D$5</f>
        <v>0</v>
      </c>
      <c r="AV23">
        <f>EXP(Foglio1!$C16-Foglio1!$D16/(Foglio1!$E16+Foglio2!AV$6))*Foglio2!AV13/Foglio1!$D$5</f>
        <v>0</v>
      </c>
      <c r="AW23">
        <f>EXP(Foglio1!$C16-Foglio1!$D16/(Foglio1!$E16+Foglio2!AW$6))*Foglio2!AW13/Foglio1!$D$5</f>
        <v>0</v>
      </c>
      <c r="AX23">
        <f>EXP(Foglio1!$C16-Foglio1!$D16/(Foglio1!$E16+Foglio2!AX$6))*Foglio2!AX13/Foglio1!$D$5</f>
        <v>0</v>
      </c>
      <c r="AY23">
        <f>EXP(Foglio1!$C16-Foglio1!$D16/(Foglio1!$E16+Foglio2!AY$6))*Foglio2!AY13/Foglio1!$D$5</f>
        <v>0</v>
      </c>
      <c r="AZ23">
        <f>EXP(Foglio1!$C16-Foglio1!$D16/(Foglio1!$E16+Foglio2!AZ$6))*Foglio2!AZ13/Foglio1!$D$5</f>
        <v>0</v>
      </c>
      <c r="BA23">
        <f>EXP(Foglio1!$C16-Foglio1!$D16/(Foglio1!$E16+Foglio2!BA$6))*Foglio2!BA13/Foglio1!$D$5</f>
        <v>0</v>
      </c>
      <c r="BB23">
        <f>EXP(Foglio1!$C16-Foglio1!$D16/(Foglio1!$E16+Foglio2!BB$6))*Foglio2!BB13/Foglio1!$D$5</f>
        <v>0</v>
      </c>
      <c r="BC23">
        <f>EXP(Foglio1!$C16-Foglio1!$D16/(Foglio1!$E16+Foglio2!BC$6))*Foglio2!BC13/Foglio1!$D$5</f>
        <v>0</v>
      </c>
      <c r="BD23">
        <f>EXP(Foglio1!$C16-Foglio1!$D16/(Foglio1!$E16+Foglio2!BD$6))*Foglio2!BD13/Foglio1!$D$5</f>
        <v>0</v>
      </c>
      <c r="BE23">
        <f>EXP(Foglio1!$C16-Foglio1!$D16/(Foglio1!$E16+Foglio2!BE$6))*Foglio2!BE13/Foglio1!$D$5</f>
        <v>0</v>
      </c>
      <c r="BF23">
        <f>EXP(Foglio1!$C16-Foglio1!$D16/(Foglio1!$E16+Foglio2!BF$6))*Foglio2!BF13/Foglio1!$D$5</f>
        <v>0</v>
      </c>
      <c r="BG23">
        <f>EXP(Foglio1!$C16-Foglio1!$D16/(Foglio1!$E16+Foglio2!BG$6))*Foglio2!BG13/Foglio1!$D$5</f>
        <v>0</v>
      </c>
      <c r="BH23">
        <f>EXP(Foglio1!$C16-Foglio1!$D16/(Foglio1!$E16+Foglio2!BH$6))*Foglio2!BH13/Foglio1!$D$5</f>
        <v>0</v>
      </c>
      <c r="BI23">
        <f>EXP(Foglio1!$C16-Foglio1!$D16/(Foglio1!$E16+Foglio2!BI$6))*Foglio2!BI13/Foglio1!$D$5</f>
        <v>0</v>
      </c>
      <c r="BJ23">
        <f>EXP(Foglio1!$C16-Foglio1!$D16/(Foglio1!$E16+Foglio2!BJ$6))*Foglio2!BJ13/Foglio1!$D$5</f>
        <v>0</v>
      </c>
      <c r="BK23">
        <f>EXP(Foglio1!$C16-Foglio1!$D16/(Foglio1!$E16+Foglio2!BK$6))*Foglio2!BK13/Foglio1!$D$5</f>
        <v>0</v>
      </c>
      <c r="BL23">
        <f>EXP(Foglio1!$C16-Foglio1!$D16/(Foglio1!$E16+Foglio2!BL$6))*Foglio2!BL13/Foglio1!$D$5</f>
        <v>0</v>
      </c>
      <c r="BM23">
        <f>EXP(Foglio1!$C16-Foglio1!$D16/(Foglio1!$E16+Foglio2!BM$6))*Foglio2!BM13/Foglio1!$D$5</f>
        <v>0</v>
      </c>
      <c r="BN23">
        <f>EXP(Foglio1!$C16-Foglio1!$D16/(Foglio1!$E16+Foglio2!BN$6))*Foglio2!BN13/Foglio1!$D$5</f>
        <v>0</v>
      </c>
      <c r="BO23">
        <f>EXP(Foglio1!$C16-Foglio1!$D16/(Foglio1!$E16+Foglio2!BO$6))*Foglio2!BO13/Foglio1!$D$5</f>
        <v>0</v>
      </c>
      <c r="BP23">
        <f>EXP(Foglio1!$C16-Foglio1!$D16/(Foglio1!$E16+Foglio2!BP$6))*Foglio2!BP13/Foglio1!$D$5</f>
        <v>0</v>
      </c>
      <c r="BQ23">
        <f>EXP(Foglio1!$C16-Foglio1!$D16/(Foglio1!$E16+Foglio2!BQ$6))*Foglio2!BQ13/Foglio1!$D$5</f>
        <v>0</v>
      </c>
      <c r="BR23">
        <f>EXP(Foglio1!$C16-Foglio1!$D16/(Foglio1!$E16+Foglio2!BR$6))*Foglio2!BR13/Foglio1!$D$5</f>
        <v>0</v>
      </c>
      <c r="BS23">
        <f>EXP(Foglio1!$C16-Foglio1!$D16/(Foglio1!$E16+Foglio2!BS$6))*Foglio2!BS13/Foglio1!$D$5</f>
        <v>0</v>
      </c>
      <c r="BT23">
        <f>EXP(Foglio1!$C16-Foglio1!$D16/(Foglio1!$E16+Foglio2!BT$6))*Foglio2!BT13/Foglio1!$D$5</f>
        <v>0</v>
      </c>
      <c r="BU23">
        <f>EXP(Foglio1!$C16-Foglio1!$D16/(Foglio1!$E16+Foglio2!BU$6))*Foglio2!BU13/Foglio1!$D$5</f>
        <v>0</v>
      </c>
      <c r="BV23">
        <f>EXP(Foglio1!$C16-Foglio1!$D16/(Foglio1!$E16+Foglio2!BV$6))*Foglio2!BV13/Foglio1!$D$5</f>
        <v>0</v>
      </c>
      <c r="BW23">
        <f>EXP(Foglio1!$C16-Foglio1!$D16/(Foglio1!$E16+Foglio2!BW$6))*Foglio2!BW13/Foglio1!$D$5</f>
        <v>0</v>
      </c>
      <c r="BX23">
        <f>EXP(Foglio1!$C16-Foglio1!$D16/(Foglio1!$E16+Foglio2!BX$6))*Foglio2!BX13/Foglio1!$D$5</f>
        <v>0</v>
      </c>
      <c r="BY23">
        <f>EXP(Foglio1!$C16-Foglio1!$D16/(Foglio1!$E16+Foglio2!BY$6))*Foglio2!BY13/Foglio1!$D$5</f>
        <v>0</v>
      </c>
      <c r="BZ23">
        <f>EXP(Foglio1!$C16-Foglio1!$D16/(Foglio1!$E16+Foglio2!BZ$6))*Foglio2!BZ13/Foglio1!$D$5</f>
        <v>0</v>
      </c>
      <c r="CA23">
        <f>EXP(Foglio1!$C16-Foglio1!$D16/(Foglio1!$E16+Foglio2!CA$6))*Foglio2!CA13/Foglio1!$D$5</f>
        <v>0</v>
      </c>
      <c r="CB23">
        <f>EXP(Foglio1!$C16-Foglio1!$D16/(Foglio1!$E16+Foglio2!CB$6))*Foglio2!CB13/Foglio1!$D$5</f>
        <v>0</v>
      </c>
      <c r="CC23">
        <f>EXP(Foglio1!$C16-Foglio1!$D16/(Foglio1!$E16+Foglio2!CC$6))*Foglio2!CC13/Foglio1!$D$5</f>
        <v>0</v>
      </c>
      <c r="CD23">
        <f>EXP(Foglio1!$C16-Foglio1!$D16/(Foglio1!$E16+Foglio2!CD$6))*Foglio2!CD13/Foglio1!$D$5</f>
        <v>0</v>
      </c>
      <c r="CE23">
        <f>EXP(Foglio1!$C16-Foglio1!$D16/(Foglio1!$E16+Foglio2!CE$6))*Foglio2!CE13/Foglio1!$D$5</f>
        <v>0</v>
      </c>
      <c r="CF23">
        <f>EXP(Foglio1!$C16-Foglio1!$D16/(Foglio1!$E16+Foglio2!CF$6))*Foglio2!CF13/Foglio1!$D$5</f>
        <v>0</v>
      </c>
    </row>
    <row r="24" spans="1:84" x14ac:dyDescent="0.25">
      <c r="A24" s="125">
        <f>Foglio1!I15</f>
        <v>0</v>
      </c>
      <c r="B24" s="127">
        <f>Foglio1!X31*Foglio1!T15/(Foglio1!G$7*1000)</f>
        <v>0</v>
      </c>
      <c r="C24" s="127">
        <f t="shared" si="22"/>
        <v>0</v>
      </c>
      <c r="D24" s="8"/>
      <c r="E24" s="126"/>
      <c r="G24" s="132">
        <f xml:space="preserve"> IF(ISERROR(AD9/(Foglio1!T15/Foglio1!G$7)*1000)=TRUE,0,AD9/(Foglio1!T15/Foglio1!G$7))*1000</f>
        <v>0</v>
      </c>
      <c r="AH24" t="s">
        <v>74</v>
      </c>
      <c r="AI24">
        <f>EXP(Foglio1!$C17-Foglio1!$D17/(Foglio1!$E17+Foglio2!AI$6))*Foglio2!AI14/Foglio1!$D$5</f>
        <v>0</v>
      </c>
      <c r="AJ24">
        <f>EXP(Foglio1!$C17-Foglio1!$D17/(Foglio1!$E17+Foglio2!AJ$6))*Foglio2!AJ14/Foglio1!$D$5</f>
        <v>0</v>
      </c>
      <c r="AK24">
        <f>EXP(Foglio1!$C17-Foglio1!$D17/(Foglio1!$E17+Foglio2!AK$6))*Foglio2!AK14/Foglio1!$D$5</f>
        <v>0</v>
      </c>
      <c r="AL24">
        <f>EXP(Foglio1!$C17-Foglio1!$D17/(Foglio1!$E17+Foglio2!AL$6))*Foglio2!AL14/Foglio1!$D$5</f>
        <v>0</v>
      </c>
      <c r="AM24">
        <f>EXP(Foglio1!$C17-Foglio1!$D17/(Foglio1!$E17+Foglio2!AM$6))*Foglio2!AM14/Foglio1!$D$5</f>
        <v>0</v>
      </c>
      <c r="AN24">
        <f>EXP(Foglio1!$C17-Foglio1!$D17/(Foglio1!$E17+Foglio2!AN$6))*Foglio2!AN14/Foglio1!$D$5</f>
        <v>0</v>
      </c>
      <c r="AO24">
        <f>EXP(Foglio1!$C17-Foglio1!$D17/(Foglio1!$E17+Foglio2!AO$6))*Foglio2!AO14/Foglio1!$D$5</f>
        <v>0</v>
      </c>
      <c r="AP24">
        <f>EXP(Foglio1!$C17-Foglio1!$D17/(Foglio1!$E17+Foglio2!AP$6))*Foglio2!AP14/Foglio1!$D$5</f>
        <v>0</v>
      </c>
      <c r="AQ24">
        <f>EXP(Foglio1!$C17-Foglio1!$D17/(Foglio1!$E17+Foglio2!AQ$6))*Foglio2!AQ14/Foglio1!$D$5</f>
        <v>0</v>
      </c>
      <c r="AR24">
        <f>EXP(Foglio1!$C17-Foglio1!$D17/(Foglio1!$E17+Foglio2!AR$6))*Foglio2!AR14/Foglio1!$D$5</f>
        <v>0</v>
      </c>
      <c r="AS24">
        <f>EXP(Foglio1!$C17-Foglio1!$D17/(Foglio1!$E17+Foglio2!AS$6))*Foglio2!AS14/Foglio1!$D$5</f>
        <v>0</v>
      </c>
      <c r="AT24">
        <f>EXP(Foglio1!$C17-Foglio1!$D17/(Foglio1!$E17+Foglio2!AT$6))*Foglio2!AT14/Foglio1!$D$5</f>
        <v>0</v>
      </c>
      <c r="AU24">
        <f>EXP(Foglio1!$C17-Foglio1!$D17/(Foglio1!$E17+Foglio2!AU$6))*Foglio2!AU14/Foglio1!$D$5</f>
        <v>0</v>
      </c>
      <c r="AV24">
        <f>EXP(Foglio1!$C17-Foglio1!$D17/(Foglio1!$E17+Foglio2!AV$6))*Foglio2!AV14/Foglio1!$D$5</f>
        <v>0</v>
      </c>
      <c r="AW24">
        <f>EXP(Foglio1!$C17-Foglio1!$D17/(Foglio1!$E17+Foglio2!AW$6))*Foglio2!AW14/Foglio1!$D$5</f>
        <v>0</v>
      </c>
      <c r="AX24">
        <f>EXP(Foglio1!$C17-Foglio1!$D17/(Foglio1!$E17+Foglio2!AX$6))*Foglio2!AX14/Foglio1!$D$5</f>
        <v>0</v>
      </c>
      <c r="AY24">
        <f>EXP(Foglio1!$C17-Foglio1!$D17/(Foglio1!$E17+Foglio2!AY$6))*Foglio2!AY14/Foglio1!$D$5</f>
        <v>0</v>
      </c>
      <c r="AZ24">
        <f>EXP(Foglio1!$C17-Foglio1!$D17/(Foglio1!$E17+Foglio2!AZ$6))*Foglio2!AZ14/Foglio1!$D$5</f>
        <v>0</v>
      </c>
      <c r="BA24">
        <f>EXP(Foglio1!$C17-Foglio1!$D17/(Foglio1!$E17+Foglio2!BA$6))*Foglio2!BA14/Foglio1!$D$5</f>
        <v>0</v>
      </c>
      <c r="BB24">
        <f>EXP(Foglio1!$C17-Foglio1!$D17/(Foglio1!$E17+Foglio2!BB$6))*Foglio2!BB14/Foglio1!$D$5</f>
        <v>0</v>
      </c>
      <c r="BC24">
        <f>EXP(Foglio1!$C17-Foglio1!$D17/(Foglio1!$E17+Foglio2!BC$6))*Foglio2!BC14/Foglio1!$D$5</f>
        <v>0</v>
      </c>
      <c r="BD24">
        <f>EXP(Foglio1!$C17-Foglio1!$D17/(Foglio1!$E17+Foglio2!BD$6))*Foglio2!BD14/Foglio1!$D$5</f>
        <v>0</v>
      </c>
      <c r="BE24">
        <f>EXP(Foglio1!$C17-Foglio1!$D17/(Foglio1!$E17+Foglio2!BE$6))*Foglio2!BE14/Foglio1!$D$5</f>
        <v>0</v>
      </c>
      <c r="BF24">
        <f>EXP(Foglio1!$C17-Foglio1!$D17/(Foglio1!$E17+Foglio2!BF$6))*Foglio2!BF14/Foglio1!$D$5</f>
        <v>0</v>
      </c>
      <c r="BG24">
        <f>EXP(Foglio1!$C17-Foglio1!$D17/(Foglio1!$E17+Foglio2!BG$6))*Foglio2!BG14/Foglio1!$D$5</f>
        <v>0</v>
      </c>
      <c r="BH24">
        <f>EXP(Foglio1!$C17-Foglio1!$D17/(Foglio1!$E17+Foglio2!BH$6))*Foglio2!BH14/Foglio1!$D$5</f>
        <v>0</v>
      </c>
      <c r="BI24">
        <f>EXP(Foglio1!$C17-Foglio1!$D17/(Foglio1!$E17+Foglio2!BI$6))*Foglio2!BI14/Foglio1!$D$5</f>
        <v>0</v>
      </c>
      <c r="BJ24">
        <f>EXP(Foglio1!$C17-Foglio1!$D17/(Foglio1!$E17+Foglio2!BJ$6))*Foglio2!BJ14/Foglio1!$D$5</f>
        <v>0</v>
      </c>
      <c r="BK24">
        <f>EXP(Foglio1!$C17-Foglio1!$D17/(Foglio1!$E17+Foglio2!BK$6))*Foglio2!BK14/Foglio1!$D$5</f>
        <v>0</v>
      </c>
      <c r="BL24">
        <f>EXP(Foglio1!$C17-Foglio1!$D17/(Foglio1!$E17+Foglio2!BL$6))*Foglio2!BL14/Foglio1!$D$5</f>
        <v>0</v>
      </c>
      <c r="BM24">
        <f>EXP(Foglio1!$C17-Foglio1!$D17/(Foglio1!$E17+Foglio2!BM$6))*Foglio2!BM14/Foglio1!$D$5</f>
        <v>0</v>
      </c>
      <c r="BN24">
        <f>EXP(Foglio1!$C17-Foglio1!$D17/(Foglio1!$E17+Foglio2!BN$6))*Foglio2!BN14/Foglio1!$D$5</f>
        <v>0</v>
      </c>
      <c r="BO24">
        <f>EXP(Foglio1!$C17-Foglio1!$D17/(Foglio1!$E17+Foglio2!BO$6))*Foglio2!BO14/Foglio1!$D$5</f>
        <v>0</v>
      </c>
      <c r="BP24">
        <f>EXP(Foglio1!$C17-Foglio1!$D17/(Foglio1!$E17+Foglio2!BP$6))*Foglio2!BP14/Foglio1!$D$5</f>
        <v>0</v>
      </c>
      <c r="BQ24">
        <f>EXP(Foglio1!$C17-Foglio1!$D17/(Foglio1!$E17+Foglio2!BQ$6))*Foglio2!BQ14/Foglio1!$D$5</f>
        <v>0</v>
      </c>
      <c r="BR24">
        <f>EXP(Foglio1!$C17-Foglio1!$D17/(Foglio1!$E17+Foglio2!BR$6))*Foglio2!BR14/Foglio1!$D$5</f>
        <v>0</v>
      </c>
      <c r="BS24">
        <f>EXP(Foglio1!$C17-Foglio1!$D17/(Foglio1!$E17+Foglio2!BS$6))*Foglio2!BS14/Foglio1!$D$5</f>
        <v>0</v>
      </c>
      <c r="BT24">
        <f>EXP(Foglio1!$C17-Foglio1!$D17/(Foglio1!$E17+Foglio2!BT$6))*Foglio2!BT14/Foglio1!$D$5</f>
        <v>0</v>
      </c>
      <c r="BU24">
        <f>EXP(Foglio1!$C17-Foglio1!$D17/(Foglio1!$E17+Foglio2!BU$6))*Foglio2!BU14/Foglio1!$D$5</f>
        <v>0</v>
      </c>
      <c r="BV24">
        <f>EXP(Foglio1!$C17-Foglio1!$D17/(Foglio1!$E17+Foglio2!BV$6))*Foglio2!BV14/Foglio1!$D$5</f>
        <v>0</v>
      </c>
      <c r="BW24">
        <f>EXP(Foglio1!$C17-Foglio1!$D17/(Foglio1!$E17+Foglio2!BW$6))*Foglio2!BW14/Foglio1!$D$5</f>
        <v>0</v>
      </c>
      <c r="BX24">
        <f>EXP(Foglio1!$C17-Foglio1!$D17/(Foglio1!$E17+Foglio2!BX$6))*Foglio2!BX14/Foglio1!$D$5</f>
        <v>0</v>
      </c>
      <c r="BY24">
        <f>EXP(Foglio1!$C17-Foglio1!$D17/(Foglio1!$E17+Foglio2!BY$6))*Foglio2!BY14/Foglio1!$D$5</f>
        <v>0</v>
      </c>
      <c r="BZ24">
        <f>EXP(Foglio1!$C17-Foglio1!$D17/(Foglio1!$E17+Foglio2!BZ$6))*Foglio2!BZ14/Foglio1!$D$5</f>
        <v>0</v>
      </c>
      <c r="CA24">
        <f>EXP(Foglio1!$C17-Foglio1!$D17/(Foglio1!$E17+Foglio2!CA$6))*Foglio2!CA14/Foglio1!$D$5</f>
        <v>0</v>
      </c>
      <c r="CB24">
        <f>EXP(Foglio1!$C17-Foglio1!$D17/(Foglio1!$E17+Foglio2!CB$6))*Foglio2!CB14/Foglio1!$D$5</f>
        <v>0</v>
      </c>
      <c r="CC24">
        <f>EXP(Foglio1!$C17-Foglio1!$D17/(Foglio1!$E17+Foglio2!CC$6))*Foglio2!CC14/Foglio1!$D$5</f>
        <v>0</v>
      </c>
      <c r="CD24">
        <f>EXP(Foglio1!$C17-Foglio1!$D17/(Foglio1!$E17+Foglio2!CD$6))*Foglio2!CD14/Foglio1!$D$5</f>
        <v>0</v>
      </c>
      <c r="CE24">
        <f>EXP(Foglio1!$C17-Foglio1!$D17/(Foglio1!$E17+Foglio2!CE$6))*Foglio2!CE14/Foglio1!$D$5</f>
        <v>0</v>
      </c>
      <c r="CF24">
        <f>EXP(Foglio1!$C17-Foglio1!$D17/(Foglio1!$E17+Foglio2!CF$6))*Foglio2!CF14/Foglio1!$D$5</f>
        <v>0</v>
      </c>
    </row>
    <row r="25" spans="1:84" x14ac:dyDescent="0.25">
      <c r="A25" s="125">
        <f>Foglio1!I16</f>
        <v>0</v>
      </c>
      <c r="B25" s="127">
        <f>Foglio1!X32*Foglio1!T16/(Foglio1!G$7*1000)</f>
        <v>0</v>
      </c>
      <c r="C25" s="127">
        <f t="shared" si="22"/>
        <v>0</v>
      </c>
      <c r="D25" s="8"/>
      <c r="E25" s="126"/>
      <c r="G25" s="132">
        <f xml:space="preserve"> IF(ISERROR(AD10/(Foglio1!T16/Foglio1!G$7)*1000)=TRUE,0,AD10/(Foglio1!T16/Foglio1!G$7))*1000</f>
        <v>0</v>
      </c>
      <c r="AH25" t="s">
        <v>73</v>
      </c>
      <c r="AI25">
        <f>EXP(Foglio1!$C18-Foglio1!$D18/(Foglio1!$E18+Foglio2!AI$6))*Foglio2!AI15/Foglio1!$D$5</f>
        <v>0</v>
      </c>
      <c r="AJ25">
        <f>EXP(Foglio1!$C18-Foglio1!$D18/(Foglio1!$E18+Foglio2!AJ$6))*Foglio2!AJ15/Foglio1!$D$5</f>
        <v>0</v>
      </c>
      <c r="AK25">
        <f>EXP(Foglio1!$C18-Foglio1!$D18/(Foglio1!$E18+Foglio2!AK$6))*Foglio2!AK15/Foglio1!$D$5</f>
        <v>0</v>
      </c>
      <c r="AL25">
        <f>EXP(Foglio1!$C18-Foglio1!$D18/(Foglio1!$E18+Foglio2!AL$6))*Foglio2!AL15/Foglio1!$D$5</f>
        <v>0</v>
      </c>
      <c r="AM25">
        <f>EXP(Foglio1!$C18-Foglio1!$D18/(Foglio1!$E18+Foglio2!AM$6))*Foglio2!AM15/Foglio1!$D$5</f>
        <v>0</v>
      </c>
      <c r="AN25">
        <f>EXP(Foglio1!$C18-Foglio1!$D18/(Foglio1!$E18+Foglio2!AN$6))*Foglio2!AN15/Foglio1!$D$5</f>
        <v>0</v>
      </c>
      <c r="AO25">
        <f>EXP(Foglio1!$C18-Foglio1!$D18/(Foglio1!$E18+Foglio2!AO$6))*Foglio2!AO15/Foglio1!$D$5</f>
        <v>0</v>
      </c>
      <c r="AP25">
        <f>EXP(Foglio1!$C18-Foglio1!$D18/(Foglio1!$E18+Foglio2!AP$6))*Foglio2!AP15/Foglio1!$D$5</f>
        <v>0</v>
      </c>
      <c r="AQ25">
        <f>EXP(Foglio1!$C18-Foglio1!$D18/(Foglio1!$E18+Foglio2!AQ$6))*Foglio2!AQ15/Foglio1!$D$5</f>
        <v>0</v>
      </c>
      <c r="AR25">
        <f>EXP(Foglio1!$C18-Foglio1!$D18/(Foglio1!$E18+Foglio2!AR$6))*Foglio2!AR15/Foglio1!$D$5</f>
        <v>0</v>
      </c>
      <c r="AS25">
        <f>EXP(Foglio1!$C18-Foglio1!$D18/(Foglio1!$E18+Foglio2!AS$6))*Foglio2!AS15/Foglio1!$D$5</f>
        <v>0</v>
      </c>
      <c r="AT25">
        <f>EXP(Foglio1!$C18-Foglio1!$D18/(Foglio1!$E18+Foglio2!AT$6))*Foglio2!AT15/Foglio1!$D$5</f>
        <v>0</v>
      </c>
      <c r="AU25">
        <f>EXP(Foglio1!$C18-Foglio1!$D18/(Foglio1!$E18+Foglio2!AU$6))*Foglio2!AU15/Foglio1!$D$5</f>
        <v>0</v>
      </c>
      <c r="AV25">
        <f>EXP(Foglio1!$C18-Foglio1!$D18/(Foglio1!$E18+Foglio2!AV$6))*Foglio2!AV15/Foglio1!$D$5</f>
        <v>0</v>
      </c>
      <c r="AW25">
        <f>EXP(Foglio1!$C18-Foglio1!$D18/(Foglio1!$E18+Foglio2!AW$6))*Foglio2!AW15/Foglio1!$D$5</f>
        <v>0</v>
      </c>
      <c r="AX25">
        <f>EXP(Foglio1!$C18-Foglio1!$D18/(Foglio1!$E18+Foglio2!AX$6))*Foglio2!AX15/Foglio1!$D$5</f>
        <v>0</v>
      </c>
      <c r="AY25">
        <f>EXP(Foglio1!$C18-Foglio1!$D18/(Foglio1!$E18+Foglio2!AY$6))*Foglio2!AY15/Foglio1!$D$5</f>
        <v>0</v>
      </c>
      <c r="AZ25">
        <f>EXP(Foglio1!$C18-Foglio1!$D18/(Foglio1!$E18+Foglio2!AZ$6))*Foglio2!AZ15/Foglio1!$D$5</f>
        <v>0</v>
      </c>
      <c r="BA25">
        <f>EXP(Foglio1!$C18-Foglio1!$D18/(Foglio1!$E18+Foglio2!BA$6))*Foglio2!BA15/Foglio1!$D$5</f>
        <v>0</v>
      </c>
      <c r="BB25">
        <f>EXP(Foglio1!$C18-Foglio1!$D18/(Foglio1!$E18+Foglio2!BB$6))*Foglio2!BB15/Foglio1!$D$5</f>
        <v>0</v>
      </c>
      <c r="BC25">
        <f>EXP(Foglio1!$C18-Foglio1!$D18/(Foglio1!$E18+Foglio2!BC$6))*Foglio2!BC15/Foglio1!$D$5</f>
        <v>0</v>
      </c>
      <c r="BD25">
        <f>EXP(Foglio1!$C18-Foglio1!$D18/(Foglio1!$E18+Foglio2!BD$6))*Foglio2!BD15/Foglio1!$D$5</f>
        <v>0</v>
      </c>
      <c r="BE25">
        <f>EXP(Foglio1!$C18-Foglio1!$D18/(Foglio1!$E18+Foglio2!BE$6))*Foglio2!BE15/Foglio1!$D$5</f>
        <v>0</v>
      </c>
      <c r="BF25">
        <f>EXP(Foglio1!$C18-Foglio1!$D18/(Foglio1!$E18+Foglio2!BF$6))*Foglio2!BF15/Foglio1!$D$5</f>
        <v>0</v>
      </c>
      <c r="BG25">
        <f>EXP(Foglio1!$C18-Foglio1!$D18/(Foglio1!$E18+Foglio2!BG$6))*Foglio2!BG15/Foglio1!$D$5</f>
        <v>0</v>
      </c>
      <c r="BH25">
        <f>EXP(Foglio1!$C18-Foglio1!$D18/(Foglio1!$E18+Foglio2!BH$6))*Foglio2!BH15/Foglio1!$D$5</f>
        <v>0</v>
      </c>
      <c r="BI25">
        <f>EXP(Foglio1!$C18-Foglio1!$D18/(Foglio1!$E18+Foglio2!BI$6))*Foglio2!BI15/Foglio1!$D$5</f>
        <v>0</v>
      </c>
      <c r="BJ25">
        <f>EXP(Foglio1!$C18-Foglio1!$D18/(Foglio1!$E18+Foglio2!BJ$6))*Foglio2!BJ15/Foglio1!$D$5</f>
        <v>0</v>
      </c>
      <c r="BK25">
        <f>EXP(Foglio1!$C18-Foglio1!$D18/(Foglio1!$E18+Foglio2!BK$6))*Foglio2!BK15/Foglio1!$D$5</f>
        <v>0</v>
      </c>
      <c r="BL25">
        <f>EXP(Foglio1!$C18-Foglio1!$D18/(Foglio1!$E18+Foglio2!BL$6))*Foglio2!BL15/Foglio1!$D$5</f>
        <v>0</v>
      </c>
      <c r="BM25">
        <f>EXP(Foglio1!$C18-Foglio1!$D18/(Foglio1!$E18+Foglio2!BM$6))*Foglio2!BM15/Foglio1!$D$5</f>
        <v>0</v>
      </c>
      <c r="BN25">
        <f>EXP(Foglio1!$C18-Foglio1!$D18/(Foglio1!$E18+Foglio2!BN$6))*Foglio2!BN15/Foglio1!$D$5</f>
        <v>0</v>
      </c>
      <c r="BO25">
        <f>EXP(Foglio1!$C18-Foglio1!$D18/(Foglio1!$E18+Foglio2!BO$6))*Foglio2!BO15/Foglio1!$D$5</f>
        <v>0</v>
      </c>
      <c r="BP25">
        <f>EXP(Foglio1!$C18-Foglio1!$D18/(Foglio1!$E18+Foglio2!BP$6))*Foglio2!BP15/Foglio1!$D$5</f>
        <v>0</v>
      </c>
      <c r="BQ25">
        <f>EXP(Foglio1!$C18-Foglio1!$D18/(Foglio1!$E18+Foglio2!BQ$6))*Foglio2!BQ15/Foglio1!$D$5</f>
        <v>0</v>
      </c>
      <c r="BR25">
        <f>EXP(Foglio1!$C18-Foglio1!$D18/(Foglio1!$E18+Foglio2!BR$6))*Foglio2!BR15/Foglio1!$D$5</f>
        <v>0</v>
      </c>
      <c r="BS25">
        <f>EXP(Foglio1!$C18-Foglio1!$D18/(Foglio1!$E18+Foglio2!BS$6))*Foglio2!BS15/Foglio1!$D$5</f>
        <v>0</v>
      </c>
      <c r="BT25">
        <f>EXP(Foglio1!$C18-Foglio1!$D18/(Foglio1!$E18+Foglio2!BT$6))*Foglio2!BT15/Foglio1!$D$5</f>
        <v>0</v>
      </c>
      <c r="BU25">
        <f>EXP(Foglio1!$C18-Foglio1!$D18/(Foglio1!$E18+Foglio2!BU$6))*Foglio2!BU15/Foglio1!$D$5</f>
        <v>0</v>
      </c>
      <c r="BV25">
        <f>EXP(Foglio1!$C18-Foglio1!$D18/(Foglio1!$E18+Foglio2!BV$6))*Foglio2!BV15/Foglio1!$D$5</f>
        <v>0</v>
      </c>
      <c r="BW25">
        <f>EXP(Foglio1!$C18-Foglio1!$D18/(Foglio1!$E18+Foglio2!BW$6))*Foglio2!BW15/Foglio1!$D$5</f>
        <v>0</v>
      </c>
      <c r="BX25">
        <f>EXP(Foglio1!$C18-Foglio1!$D18/(Foglio1!$E18+Foglio2!BX$6))*Foglio2!BX15/Foglio1!$D$5</f>
        <v>0</v>
      </c>
      <c r="BY25">
        <f>EXP(Foglio1!$C18-Foglio1!$D18/(Foglio1!$E18+Foglio2!BY$6))*Foglio2!BY15/Foglio1!$D$5</f>
        <v>0</v>
      </c>
      <c r="BZ25">
        <f>EXP(Foglio1!$C18-Foglio1!$D18/(Foglio1!$E18+Foglio2!BZ$6))*Foglio2!BZ15/Foglio1!$D$5</f>
        <v>0</v>
      </c>
      <c r="CA25">
        <f>EXP(Foglio1!$C18-Foglio1!$D18/(Foglio1!$E18+Foglio2!CA$6))*Foglio2!CA15/Foglio1!$D$5</f>
        <v>0</v>
      </c>
      <c r="CB25">
        <f>EXP(Foglio1!$C18-Foglio1!$D18/(Foglio1!$E18+Foglio2!CB$6))*Foglio2!CB15/Foglio1!$D$5</f>
        <v>0</v>
      </c>
      <c r="CC25">
        <f>EXP(Foglio1!$C18-Foglio1!$D18/(Foglio1!$E18+Foglio2!CC$6))*Foglio2!CC15/Foglio1!$D$5</f>
        <v>0</v>
      </c>
      <c r="CD25">
        <f>EXP(Foglio1!$C18-Foglio1!$D18/(Foglio1!$E18+Foglio2!CD$6))*Foglio2!CD15/Foglio1!$D$5</f>
        <v>0</v>
      </c>
      <c r="CE25">
        <f>EXP(Foglio1!$C18-Foglio1!$D18/(Foglio1!$E18+Foglio2!CE$6))*Foglio2!CE15/Foglio1!$D$5</f>
        <v>0</v>
      </c>
      <c r="CF25">
        <f>EXP(Foglio1!$C18-Foglio1!$D18/(Foglio1!$E18+Foglio2!CF$6))*Foglio2!CF15/Foglio1!$D$5</f>
        <v>0</v>
      </c>
    </row>
    <row r="26" spans="1:84" x14ac:dyDescent="0.25">
      <c r="A26" s="125">
        <f>Foglio1!I17</f>
        <v>0</v>
      </c>
      <c r="B26" s="127">
        <f>Foglio1!X33*Foglio1!T17/(Foglio1!G$7*1000)</f>
        <v>0</v>
      </c>
      <c r="C26" s="127">
        <f t="shared" si="22"/>
        <v>0</v>
      </c>
      <c r="D26" s="8"/>
      <c r="E26" s="126"/>
      <c r="G26" s="132">
        <f xml:space="preserve"> IF(ISERROR(AD11/(Foglio1!T17/Foglio1!G$7)*1000)=TRUE,0,AD11/(Foglio1!T17/Foglio1!G$7))*1000</f>
        <v>0</v>
      </c>
      <c r="AH26" t="s">
        <v>75</v>
      </c>
      <c r="AI26">
        <f>EXP(Foglio1!$C19-Foglio1!$D19/(Foglio1!$E19+Foglio2!AI$6))*Foglio2!AI16/Foglio1!$D$5</f>
        <v>0</v>
      </c>
      <c r="AJ26">
        <f>EXP(Foglio1!$C19-Foglio1!$D19/(Foglio1!$E19+Foglio2!AJ$6))*Foglio2!AJ16/Foglio1!$D$5</f>
        <v>0</v>
      </c>
      <c r="AK26">
        <f>EXP(Foglio1!$C19-Foglio1!$D19/(Foglio1!$E19+Foglio2!AK$6))*Foglio2!AK16/Foglio1!$D$5</f>
        <v>0</v>
      </c>
      <c r="AL26">
        <f>EXP(Foglio1!$C19-Foglio1!$D19/(Foglio1!$E19+Foglio2!AL$6))*Foglio2!AL16/Foglio1!$D$5</f>
        <v>0</v>
      </c>
      <c r="AM26">
        <f>EXP(Foglio1!$C19-Foglio1!$D19/(Foglio1!$E19+Foglio2!AM$6))*Foglio2!AM16/Foglio1!$D$5</f>
        <v>0</v>
      </c>
      <c r="AN26">
        <f>EXP(Foglio1!$C19-Foglio1!$D19/(Foglio1!$E19+Foglio2!AN$6))*Foglio2!AN16/Foglio1!$D$5</f>
        <v>0</v>
      </c>
      <c r="AO26">
        <f>EXP(Foglio1!$C19-Foglio1!$D19/(Foglio1!$E19+Foglio2!AO$6))*Foglio2!AO16/Foglio1!$D$5</f>
        <v>0</v>
      </c>
      <c r="AP26">
        <f>EXP(Foglio1!$C19-Foglio1!$D19/(Foglio1!$E19+Foglio2!AP$6))*Foglio2!AP16/Foglio1!$D$5</f>
        <v>0</v>
      </c>
      <c r="AQ26">
        <f>EXP(Foglio1!$C19-Foglio1!$D19/(Foglio1!$E19+Foglio2!AQ$6))*Foglio2!AQ16/Foglio1!$D$5</f>
        <v>0</v>
      </c>
      <c r="AR26">
        <f>EXP(Foglio1!$C19-Foglio1!$D19/(Foglio1!$E19+Foglio2!AR$6))*Foglio2!AR16/Foglio1!$D$5</f>
        <v>0</v>
      </c>
      <c r="AS26">
        <f>EXP(Foglio1!$C19-Foglio1!$D19/(Foglio1!$E19+Foglio2!AS$6))*Foglio2!AS16/Foglio1!$D$5</f>
        <v>0</v>
      </c>
      <c r="AT26">
        <f>EXP(Foglio1!$C19-Foglio1!$D19/(Foglio1!$E19+Foglio2!AT$6))*Foglio2!AT16/Foglio1!$D$5</f>
        <v>0</v>
      </c>
      <c r="AU26">
        <f>EXP(Foglio1!$C19-Foglio1!$D19/(Foglio1!$E19+Foglio2!AU$6))*Foglio2!AU16/Foglio1!$D$5</f>
        <v>0</v>
      </c>
      <c r="AV26">
        <f>EXP(Foglio1!$C19-Foglio1!$D19/(Foglio1!$E19+Foglio2!AV$6))*Foglio2!AV16/Foglio1!$D$5</f>
        <v>0</v>
      </c>
      <c r="AW26">
        <f>EXP(Foglio1!$C19-Foglio1!$D19/(Foglio1!$E19+Foglio2!AW$6))*Foglio2!AW16/Foglio1!$D$5</f>
        <v>0</v>
      </c>
      <c r="AX26">
        <f>EXP(Foglio1!$C19-Foglio1!$D19/(Foglio1!$E19+Foglio2!AX$6))*Foglio2!AX16/Foglio1!$D$5</f>
        <v>0</v>
      </c>
      <c r="AY26">
        <f>EXP(Foglio1!$C19-Foglio1!$D19/(Foglio1!$E19+Foglio2!AY$6))*Foglio2!AY16/Foglio1!$D$5</f>
        <v>0</v>
      </c>
      <c r="AZ26">
        <f>EXP(Foglio1!$C19-Foglio1!$D19/(Foglio1!$E19+Foglio2!AZ$6))*Foglio2!AZ16/Foglio1!$D$5</f>
        <v>0</v>
      </c>
      <c r="BA26">
        <f>EXP(Foglio1!$C19-Foglio1!$D19/(Foglio1!$E19+Foglio2!BA$6))*Foglio2!BA16/Foglio1!$D$5</f>
        <v>0</v>
      </c>
      <c r="BB26">
        <f>EXP(Foglio1!$C19-Foglio1!$D19/(Foglio1!$E19+Foglio2!BB$6))*Foglio2!BB16/Foglio1!$D$5</f>
        <v>0</v>
      </c>
      <c r="BC26">
        <f>EXP(Foglio1!$C19-Foglio1!$D19/(Foglio1!$E19+Foglio2!BC$6))*Foglio2!BC16/Foglio1!$D$5</f>
        <v>0</v>
      </c>
      <c r="BD26">
        <f>EXP(Foglio1!$C19-Foglio1!$D19/(Foglio1!$E19+Foglio2!BD$6))*Foglio2!BD16/Foglio1!$D$5</f>
        <v>0</v>
      </c>
      <c r="BE26">
        <f>EXP(Foglio1!$C19-Foglio1!$D19/(Foglio1!$E19+Foglio2!BE$6))*Foglio2!BE16/Foglio1!$D$5</f>
        <v>0</v>
      </c>
      <c r="BF26">
        <f>EXP(Foglio1!$C19-Foglio1!$D19/(Foglio1!$E19+Foglio2!BF$6))*Foglio2!BF16/Foglio1!$D$5</f>
        <v>0</v>
      </c>
      <c r="BG26">
        <f>EXP(Foglio1!$C19-Foglio1!$D19/(Foglio1!$E19+Foglio2!BG$6))*Foglio2!BG16/Foglio1!$D$5</f>
        <v>0</v>
      </c>
      <c r="BH26">
        <f>EXP(Foglio1!$C19-Foglio1!$D19/(Foglio1!$E19+Foglio2!BH$6))*Foglio2!BH16/Foglio1!$D$5</f>
        <v>0</v>
      </c>
      <c r="BI26">
        <f>EXP(Foglio1!$C19-Foglio1!$D19/(Foglio1!$E19+Foglio2!BI$6))*Foglio2!BI16/Foglio1!$D$5</f>
        <v>0</v>
      </c>
      <c r="BJ26">
        <f>EXP(Foglio1!$C19-Foglio1!$D19/(Foglio1!$E19+Foglio2!BJ$6))*Foglio2!BJ16/Foglio1!$D$5</f>
        <v>0</v>
      </c>
      <c r="BK26">
        <f>EXP(Foglio1!$C19-Foglio1!$D19/(Foglio1!$E19+Foglio2!BK$6))*Foglio2!BK16/Foglio1!$D$5</f>
        <v>0</v>
      </c>
      <c r="BL26">
        <f>EXP(Foglio1!$C19-Foglio1!$D19/(Foglio1!$E19+Foglio2!BL$6))*Foglio2!BL16/Foglio1!$D$5</f>
        <v>0</v>
      </c>
      <c r="BM26">
        <f>EXP(Foglio1!$C19-Foglio1!$D19/(Foglio1!$E19+Foglio2!BM$6))*Foglio2!BM16/Foglio1!$D$5</f>
        <v>0</v>
      </c>
      <c r="BN26">
        <f>EXP(Foglio1!$C19-Foglio1!$D19/(Foglio1!$E19+Foglio2!BN$6))*Foglio2!BN16/Foglio1!$D$5</f>
        <v>0</v>
      </c>
      <c r="BO26">
        <f>EXP(Foglio1!$C19-Foglio1!$D19/(Foglio1!$E19+Foglio2!BO$6))*Foglio2!BO16/Foglio1!$D$5</f>
        <v>0</v>
      </c>
      <c r="BP26">
        <f>EXP(Foglio1!$C19-Foglio1!$D19/(Foglio1!$E19+Foglio2!BP$6))*Foglio2!BP16/Foglio1!$D$5</f>
        <v>0</v>
      </c>
      <c r="BQ26">
        <f>EXP(Foglio1!$C19-Foglio1!$D19/(Foglio1!$E19+Foglio2!BQ$6))*Foglio2!BQ16/Foglio1!$D$5</f>
        <v>0</v>
      </c>
      <c r="BR26">
        <f>EXP(Foglio1!$C19-Foglio1!$D19/(Foglio1!$E19+Foglio2!BR$6))*Foglio2!BR16/Foglio1!$D$5</f>
        <v>0</v>
      </c>
      <c r="BS26">
        <f>EXP(Foglio1!$C19-Foglio1!$D19/(Foglio1!$E19+Foglio2!BS$6))*Foglio2!BS16/Foglio1!$D$5</f>
        <v>0</v>
      </c>
      <c r="BT26">
        <f>EXP(Foglio1!$C19-Foglio1!$D19/(Foglio1!$E19+Foglio2!BT$6))*Foglio2!BT16/Foglio1!$D$5</f>
        <v>0</v>
      </c>
      <c r="BU26">
        <f>EXP(Foglio1!$C19-Foglio1!$D19/(Foglio1!$E19+Foglio2!BU$6))*Foglio2!BU16/Foglio1!$D$5</f>
        <v>0</v>
      </c>
      <c r="BV26">
        <f>EXP(Foglio1!$C19-Foglio1!$D19/(Foglio1!$E19+Foglio2!BV$6))*Foglio2!BV16/Foglio1!$D$5</f>
        <v>0</v>
      </c>
      <c r="BW26">
        <f>EXP(Foglio1!$C19-Foglio1!$D19/(Foglio1!$E19+Foglio2!BW$6))*Foglio2!BW16/Foglio1!$D$5</f>
        <v>0</v>
      </c>
      <c r="BX26">
        <f>EXP(Foglio1!$C19-Foglio1!$D19/(Foglio1!$E19+Foglio2!BX$6))*Foglio2!BX16/Foglio1!$D$5</f>
        <v>0</v>
      </c>
      <c r="BY26">
        <f>EXP(Foglio1!$C19-Foglio1!$D19/(Foglio1!$E19+Foglio2!BY$6))*Foglio2!BY16/Foglio1!$D$5</f>
        <v>0</v>
      </c>
      <c r="BZ26">
        <f>EXP(Foglio1!$C19-Foglio1!$D19/(Foglio1!$E19+Foglio2!BZ$6))*Foglio2!BZ16/Foglio1!$D$5</f>
        <v>0</v>
      </c>
      <c r="CA26">
        <f>EXP(Foglio1!$C19-Foglio1!$D19/(Foglio1!$E19+Foglio2!CA$6))*Foglio2!CA16/Foglio1!$D$5</f>
        <v>0</v>
      </c>
      <c r="CB26">
        <f>EXP(Foglio1!$C19-Foglio1!$D19/(Foglio1!$E19+Foglio2!CB$6))*Foglio2!CB16/Foglio1!$D$5</f>
        <v>0</v>
      </c>
      <c r="CC26">
        <f>EXP(Foglio1!$C19-Foglio1!$D19/(Foglio1!$E19+Foglio2!CC$6))*Foglio2!CC16/Foglio1!$D$5</f>
        <v>0</v>
      </c>
      <c r="CD26">
        <f>EXP(Foglio1!$C19-Foglio1!$D19/(Foglio1!$E19+Foglio2!CD$6))*Foglio2!CD16/Foglio1!$D$5</f>
        <v>0</v>
      </c>
      <c r="CE26">
        <f>EXP(Foglio1!$C19-Foglio1!$D19/(Foglio1!$E19+Foglio2!CE$6))*Foglio2!CE16/Foglio1!$D$5</f>
        <v>0</v>
      </c>
      <c r="CF26">
        <f>EXP(Foglio1!$C19-Foglio1!$D19/(Foglio1!$E19+Foglio2!CF$6))*Foglio2!CF16/Foglio1!$D$5</f>
        <v>0</v>
      </c>
    </row>
    <row r="27" spans="1:84" x14ac:dyDescent="0.25">
      <c r="A27" s="125">
        <f>Foglio1!I18</f>
        <v>0</v>
      </c>
      <c r="B27" s="127">
        <f>Foglio1!X34*Foglio1!T18/(Foglio1!G$7*1000)</f>
        <v>0</v>
      </c>
      <c r="C27" s="127">
        <f t="shared" si="22"/>
        <v>0</v>
      </c>
      <c r="D27" s="8"/>
      <c r="E27" s="126"/>
      <c r="G27" s="132">
        <f xml:space="preserve"> IF(ISERROR(AD12/(Foglio1!T18/Foglio1!G$7)*1000)=TRUE,0,AD12/(Foglio1!T18/Foglio1!G$7))*1000</f>
        <v>0</v>
      </c>
      <c r="AH27" t="s">
        <v>76</v>
      </c>
      <c r="AI27">
        <f t="shared" ref="AI27:BN27" si="23">SUM(AI17:AI26)</f>
        <v>2.9409782053644014</v>
      </c>
      <c r="AJ27">
        <f t="shared" si="23"/>
        <v>0.97744585518411953</v>
      </c>
      <c r="AK27">
        <f t="shared" si="23"/>
        <v>1.7784578509310709</v>
      </c>
      <c r="AL27">
        <f t="shared" si="23"/>
        <v>1.3364600338386343</v>
      </c>
      <c r="AM27">
        <f t="shared" si="23"/>
        <v>1.1470906885704939</v>
      </c>
      <c r="AN27">
        <f t="shared" si="23"/>
        <v>1.0598692389384736</v>
      </c>
      <c r="AO27">
        <f t="shared" si="23"/>
        <v>1.0180662598436454</v>
      </c>
      <c r="AP27">
        <f t="shared" si="23"/>
        <v>0.99760930377430412</v>
      </c>
      <c r="AQ27">
        <f t="shared" si="23"/>
        <v>1.007800959465482</v>
      </c>
      <c r="AR27">
        <f t="shared" si="23"/>
        <v>1.0026959427478264</v>
      </c>
      <c r="AS27">
        <f t="shared" si="23"/>
        <v>1.000150328134449</v>
      </c>
      <c r="AT27">
        <f t="shared" si="23"/>
        <v>0.99887924243428428</v>
      </c>
      <c r="AU27">
        <f t="shared" si="23"/>
        <v>0.99951464187164296</v>
      </c>
      <c r="AV27">
        <f t="shared" si="23"/>
        <v>0.99983244914577774</v>
      </c>
      <c r="AW27">
        <f t="shared" si="23"/>
        <v>0.99999137967528673</v>
      </c>
      <c r="AX27">
        <f t="shared" si="23"/>
        <v>1.000070851663597</v>
      </c>
      <c r="AY27">
        <f t="shared" si="23"/>
        <v>1.0000311151091319</v>
      </c>
      <c r="AZ27">
        <f t="shared" si="23"/>
        <v>1.0000112472521332</v>
      </c>
      <c r="BA27">
        <f t="shared" si="23"/>
        <v>1.0000013134286903</v>
      </c>
      <c r="BB27">
        <f t="shared" si="23"/>
        <v>0.99999634654323422</v>
      </c>
      <c r="BC27">
        <f t="shared" si="23"/>
        <v>0.99999882998377354</v>
      </c>
      <c r="BD27">
        <f t="shared" si="23"/>
        <v>1.0000000717056845</v>
      </c>
      <c r="BE27">
        <f t="shared" si="23"/>
        <v>0.99999945084459207</v>
      </c>
      <c r="BF27">
        <f t="shared" si="23"/>
        <v>0.99999976127510393</v>
      </c>
      <c r="BG27">
        <f t="shared" si="23"/>
        <v>0.99999991649038644</v>
      </c>
      <c r="BH27">
        <f t="shared" si="23"/>
        <v>0.99999999409803364</v>
      </c>
      <c r="BI27">
        <f t="shared" si="23"/>
        <v>1.0000000329018586</v>
      </c>
      <c r="BJ27">
        <f t="shared" si="23"/>
        <v>1.0000000134999456</v>
      </c>
      <c r="BK27">
        <f t="shared" si="23"/>
        <v>1.0000000037989893</v>
      </c>
      <c r="BL27">
        <f t="shared" si="23"/>
        <v>0.99999999894851155</v>
      </c>
      <c r="BM27">
        <f t="shared" si="23"/>
        <v>1.0000000013737502</v>
      </c>
      <c r="BN27">
        <f t="shared" si="23"/>
        <v>1.0000000001611309</v>
      </c>
      <c r="BO27">
        <f t="shared" ref="BO27:CF27" si="24">SUM(BO17:BO26)</f>
        <v>0.99999999955482155</v>
      </c>
      <c r="BP27">
        <f t="shared" si="24"/>
        <v>0.99999999985797627</v>
      </c>
      <c r="BQ27">
        <f t="shared" si="24"/>
        <v>1.0000000000095532</v>
      </c>
      <c r="BR27">
        <f t="shared" si="24"/>
        <v>0.99999999993376509</v>
      </c>
      <c r="BS27">
        <f t="shared" si="24"/>
        <v>0.99999999997165923</v>
      </c>
      <c r="BT27">
        <f t="shared" si="24"/>
        <v>0.9999999999906064</v>
      </c>
      <c r="BU27">
        <f t="shared" si="24"/>
        <v>1.0000000000000799</v>
      </c>
      <c r="BV27">
        <f t="shared" si="24"/>
        <v>0.99999999999534361</v>
      </c>
      <c r="BW27">
        <f t="shared" si="24"/>
        <v>0.99999999999771239</v>
      </c>
      <c r="BX27">
        <f t="shared" si="24"/>
        <v>0.99999999999889733</v>
      </c>
      <c r="BY27">
        <f t="shared" si="24"/>
        <v>0.99999999999948852</v>
      </c>
      <c r="BZ27">
        <f t="shared" si="24"/>
        <v>0.99999999999978417</v>
      </c>
      <c r="CA27">
        <f t="shared" si="24"/>
        <v>0.99999999999993294</v>
      </c>
      <c r="CB27">
        <f t="shared" si="24"/>
        <v>1.0000000000000053</v>
      </c>
      <c r="CC27">
        <f t="shared" si="24"/>
        <v>0.99999999999996847</v>
      </c>
      <c r="CD27">
        <f t="shared" si="24"/>
        <v>0.99999999999998868</v>
      </c>
      <c r="CE27">
        <f t="shared" si="24"/>
        <v>0.99999999999999645</v>
      </c>
      <c r="CF27" s="42">
        <f t="shared" si="24"/>
        <v>1.0000000000000011</v>
      </c>
    </row>
    <row r="28" spans="1:84" x14ac:dyDescent="0.25">
      <c r="A28" s="125">
        <f>Foglio1!I19</f>
        <v>0</v>
      </c>
      <c r="B28" s="127">
        <f>Foglio1!X35*Foglio1!T19/(Foglio1!G$7*1000)</f>
        <v>0</v>
      </c>
      <c r="C28" s="127">
        <f t="shared" si="22"/>
        <v>0</v>
      </c>
      <c r="D28" s="8"/>
      <c r="E28" s="126"/>
      <c r="G28" s="132">
        <f xml:space="preserve"> IF(ISERROR(AD13/(Foglio1!T19/Foglio1!G$7)*1000)=TRUE,0,AD13/(Foglio1!T19/Foglio1!G$7))*1000</f>
        <v>0</v>
      </c>
    </row>
    <row r="29" spans="1:84" x14ac:dyDescent="0.25">
      <c r="A29" s="125"/>
      <c r="B29" s="8"/>
      <c r="C29" s="8"/>
      <c r="D29" s="8"/>
      <c r="E29" s="126"/>
      <c r="G29" s="132"/>
      <c r="AH29" s="184" t="s">
        <v>84</v>
      </c>
      <c r="AI29" s="184"/>
      <c r="AJ29" s="184"/>
      <c r="AK29" s="184"/>
      <c r="AL29" s="184"/>
      <c r="AM29" s="184"/>
      <c r="AN29" s="184"/>
      <c r="AO29" s="184"/>
      <c r="AP29" s="184"/>
    </row>
    <row r="30" spans="1:84" x14ac:dyDescent="0.25">
      <c r="A30" s="125"/>
      <c r="B30" s="127">
        <f>SUM(B19:B28)</f>
        <v>1931.5624999999998</v>
      </c>
      <c r="C30" s="127">
        <f>SUM(C19:C28)</f>
        <v>2268.4375</v>
      </c>
      <c r="D30" s="8"/>
      <c r="E30" s="126"/>
      <c r="G30" s="132"/>
      <c r="AH30" s="184"/>
      <c r="AI30" s="184"/>
      <c r="AJ30" s="184"/>
      <c r="AK30" s="184"/>
      <c r="AL30" s="184"/>
      <c r="AM30" s="184"/>
      <c r="AN30" s="184"/>
      <c r="AO30" s="184"/>
      <c r="AP30" s="184"/>
    </row>
    <row r="31" spans="1:84" x14ac:dyDescent="0.25">
      <c r="A31" s="125"/>
      <c r="B31" s="8"/>
      <c r="C31" s="8"/>
      <c r="D31" s="8"/>
      <c r="E31" s="126"/>
      <c r="G31" s="132"/>
      <c r="AH31" t="s">
        <v>53</v>
      </c>
      <c r="AI31">
        <f>MAX(Foglio1!$F$10:$F$19)*2</f>
        <v>233.3720572771723</v>
      </c>
      <c r="AJ31">
        <f>IF(AI54&lt;1,AI33,AI31)</f>
        <v>116.68602863858615</v>
      </c>
      <c r="AK31">
        <f t="shared" ref="AK31:CF31" si="25">IF(AJ54&lt;1,AJ33,AJ31)</f>
        <v>116.68602863858615</v>
      </c>
      <c r="AL31">
        <f t="shared" si="25"/>
        <v>87.514521478939614</v>
      </c>
      <c r="AM31">
        <f t="shared" si="25"/>
        <v>72.928767899116338</v>
      </c>
      <c r="AN31">
        <f t="shared" si="25"/>
        <v>72.928767899116338</v>
      </c>
      <c r="AO31">
        <f t="shared" si="25"/>
        <v>69.282329504160515</v>
      </c>
      <c r="AP31">
        <f t="shared" si="25"/>
        <v>69.282329504160515</v>
      </c>
      <c r="AQ31">
        <f t="shared" si="25"/>
        <v>69.282329504160515</v>
      </c>
      <c r="AR31">
        <f t="shared" si="25"/>
        <v>69.282329504160515</v>
      </c>
      <c r="AS31">
        <f t="shared" si="25"/>
        <v>69.054427104475778</v>
      </c>
      <c r="AT31">
        <f t="shared" si="25"/>
        <v>68.940475904633416</v>
      </c>
      <c r="AU31">
        <f t="shared" si="25"/>
        <v>68.940475904633416</v>
      </c>
      <c r="AV31">
        <f t="shared" si="25"/>
        <v>68.940475904633416</v>
      </c>
      <c r="AW31">
        <f t="shared" si="25"/>
        <v>68.940475904633416</v>
      </c>
      <c r="AX31">
        <f t="shared" si="25"/>
        <v>68.933353954643266</v>
      </c>
      <c r="AY31">
        <f t="shared" si="25"/>
        <v>68.929792979648198</v>
      </c>
      <c r="AZ31">
        <f t="shared" si="25"/>
        <v>68.928012492150657</v>
      </c>
      <c r="BA31">
        <f t="shared" si="25"/>
        <v>68.928012492150657</v>
      </c>
      <c r="BB31">
        <f t="shared" si="25"/>
        <v>68.928012492150657</v>
      </c>
      <c r="BC31">
        <f t="shared" si="25"/>
        <v>68.927789931213468</v>
      </c>
      <c r="BD31">
        <f t="shared" si="25"/>
        <v>68.927678650744866</v>
      </c>
      <c r="BE31">
        <f t="shared" si="25"/>
        <v>68.927678650744866</v>
      </c>
      <c r="BF31">
        <f t="shared" si="25"/>
        <v>68.927678650744866</v>
      </c>
      <c r="BG31">
        <f t="shared" si="25"/>
        <v>68.927664740686296</v>
      </c>
      <c r="BH31">
        <f t="shared" si="25"/>
        <v>68.927657785657004</v>
      </c>
      <c r="BI31">
        <f t="shared" si="25"/>
        <v>68.927654308142365</v>
      </c>
      <c r="BJ31">
        <f t="shared" si="25"/>
        <v>68.927654308142365</v>
      </c>
      <c r="BK31">
        <f t="shared" si="25"/>
        <v>68.927654308142365</v>
      </c>
      <c r="BL31">
        <f t="shared" si="25"/>
        <v>68.927654308142365</v>
      </c>
      <c r="BM31">
        <f t="shared" si="25"/>
        <v>68.927654308142365</v>
      </c>
      <c r="BN31">
        <f t="shared" si="25"/>
        <v>68.927654308142365</v>
      </c>
      <c r="BO31">
        <f t="shared" si="25"/>
        <v>68.927654253806196</v>
      </c>
      <c r="BP31">
        <f t="shared" si="25"/>
        <v>68.927654253806196</v>
      </c>
      <c r="BQ31">
        <f t="shared" si="25"/>
        <v>68.927654240222154</v>
      </c>
      <c r="BR31">
        <f t="shared" si="25"/>
        <v>68.927654233430133</v>
      </c>
      <c r="BS31">
        <f t="shared" si="25"/>
        <v>68.927654230034122</v>
      </c>
      <c r="BT31">
        <f t="shared" si="25"/>
        <v>68.92765422833611</v>
      </c>
      <c r="BU31">
        <f t="shared" si="25"/>
        <v>68.92765422748711</v>
      </c>
      <c r="BV31">
        <f t="shared" si="25"/>
        <v>68.927654227062618</v>
      </c>
      <c r="BW31">
        <f t="shared" si="25"/>
        <v>68.927654226850365</v>
      </c>
      <c r="BX31">
        <f t="shared" si="25"/>
        <v>68.927654226850365</v>
      </c>
      <c r="BY31">
        <f t="shared" si="25"/>
        <v>68.927654226797301</v>
      </c>
      <c r="BZ31">
        <f t="shared" si="25"/>
        <v>68.927654226797301</v>
      </c>
      <c r="CA31">
        <f t="shared" si="25"/>
        <v>68.927654226797301</v>
      </c>
      <c r="CB31">
        <f t="shared" si="25"/>
        <v>68.927654226790665</v>
      </c>
      <c r="CC31">
        <f t="shared" si="25"/>
        <v>68.927654226787354</v>
      </c>
      <c r="CD31">
        <f t="shared" si="25"/>
        <v>68.927654226787354</v>
      </c>
      <c r="CE31">
        <f t="shared" si="25"/>
        <v>68.927654226787354</v>
      </c>
      <c r="CF31">
        <f t="shared" si="25"/>
        <v>68.927654226786942</v>
      </c>
    </row>
    <row r="32" spans="1:84" ht="15.75" thickBot="1" x14ac:dyDescent="0.3">
      <c r="A32" s="128"/>
      <c r="B32" s="129"/>
      <c r="C32" s="129"/>
      <c r="D32" s="129"/>
      <c r="E32" s="130"/>
      <c r="G32" s="133"/>
      <c r="AH32" t="s">
        <v>54</v>
      </c>
      <c r="AI32">
        <f>MIN(Foglio1!$F$10:$F$19)</f>
        <v>0</v>
      </c>
      <c r="AJ32">
        <f>IF(AI54&lt;1,AI32,AI33)</f>
        <v>0</v>
      </c>
      <c r="AK32">
        <f t="shared" ref="AK32:CF32" si="26">IF(AJ54&lt;1,AJ32,AJ33)</f>
        <v>58.343014319293076</v>
      </c>
      <c r="AL32">
        <f t="shared" si="26"/>
        <v>58.343014319293076</v>
      </c>
      <c r="AM32">
        <f t="shared" si="26"/>
        <v>58.343014319293076</v>
      </c>
      <c r="AN32">
        <f t="shared" si="26"/>
        <v>65.635891109204707</v>
      </c>
      <c r="AO32">
        <f t="shared" si="26"/>
        <v>65.635891109204707</v>
      </c>
      <c r="AP32">
        <f t="shared" si="26"/>
        <v>67.459110306682618</v>
      </c>
      <c r="AQ32">
        <f t="shared" si="26"/>
        <v>68.370719905421566</v>
      </c>
      <c r="AR32">
        <f t="shared" si="26"/>
        <v>68.826524704791041</v>
      </c>
      <c r="AS32">
        <f t="shared" si="26"/>
        <v>68.826524704791041</v>
      </c>
      <c r="AT32">
        <f t="shared" si="26"/>
        <v>68.826524704791041</v>
      </c>
      <c r="AU32">
        <f t="shared" si="26"/>
        <v>68.883500304712229</v>
      </c>
      <c r="AV32">
        <f t="shared" si="26"/>
        <v>68.911988104672815</v>
      </c>
      <c r="AW32">
        <f t="shared" si="26"/>
        <v>68.926232004653116</v>
      </c>
      <c r="AX32">
        <f t="shared" si="26"/>
        <v>68.926232004653116</v>
      </c>
      <c r="AY32">
        <f t="shared" si="26"/>
        <v>68.926232004653116</v>
      </c>
      <c r="AZ32">
        <f t="shared" si="26"/>
        <v>68.926232004653116</v>
      </c>
      <c r="BA32">
        <f t="shared" si="26"/>
        <v>68.927122248401886</v>
      </c>
      <c r="BB32">
        <f t="shared" si="26"/>
        <v>68.927567370276279</v>
      </c>
      <c r="BC32">
        <f t="shared" si="26"/>
        <v>68.927567370276279</v>
      </c>
      <c r="BD32">
        <f t="shared" si="26"/>
        <v>68.927567370276279</v>
      </c>
      <c r="BE32">
        <f t="shared" si="26"/>
        <v>68.927623010510572</v>
      </c>
      <c r="BF32">
        <f t="shared" si="26"/>
        <v>68.927650830627726</v>
      </c>
      <c r="BG32">
        <f t="shared" si="26"/>
        <v>68.927650830627726</v>
      </c>
      <c r="BH32">
        <f t="shared" si="26"/>
        <v>68.927650830627726</v>
      </c>
      <c r="BI32">
        <f t="shared" si="26"/>
        <v>68.927650830627726</v>
      </c>
      <c r="BJ32">
        <f t="shared" si="26"/>
        <v>68.927652569385046</v>
      </c>
      <c r="BK32">
        <f t="shared" si="26"/>
        <v>68.927653438763713</v>
      </c>
      <c r="BL32">
        <f t="shared" si="26"/>
        <v>68.927653873453039</v>
      </c>
      <c r="BM32">
        <f t="shared" si="26"/>
        <v>68.927654090797702</v>
      </c>
      <c r="BN32">
        <f t="shared" si="26"/>
        <v>68.927654199470027</v>
      </c>
      <c r="BO32">
        <f t="shared" si="26"/>
        <v>68.927654199470027</v>
      </c>
      <c r="BP32">
        <f t="shared" si="26"/>
        <v>68.927654226638111</v>
      </c>
      <c r="BQ32">
        <f t="shared" si="26"/>
        <v>68.927654226638111</v>
      </c>
      <c r="BR32">
        <f t="shared" si="26"/>
        <v>68.927654226638111</v>
      </c>
      <c r="BS32">
        <f t="shared" si="26"/>
        <v>68.927654226638111</v>
      </c>
      <c r="BT32">
        <f t="shared" si="26"/>
        <v>68.927654226638111</v>
      </c>
      <c r="BU32">
        <f t="shared" si="26"/>
        <v>68.927654226638111</v>
      </c>
      <c r="BV32">
        <f t="shared" si="26"/>
        <v>68.927654226638111</v>
      </c>
      <c r="BW32">
        <f t="shared" si="26"/>
        <v>68.927654226638111</v>
      </c>
      <c r="BX32">
        <f t="shared" si="26"/>
        <v>68.927654226744238</v>
      </c>
      <c r="BY32">
        <f t="shared" si="26"/>
        <v>68.927654226744238</v>
      </c>
      <c r="BZ32">
        <f t="shared" si="26"/>
        <v>68.92765422677077</v>
      </c>
      <c r="CA32">
        <f t="shared" si="26"/>
        <v>68.927654226784028</v>
      </c>
      <c r="CB32">
        <f t="shared" si="26"/>
        <v>68.927654226784028</v>
      </c>
      <c r="CC32">
        <f t="shared" si="26"/>
        <v>68.927654226784028</v>
      </c>
      <c r="CD32">
        <f t="shared" si="26"/>
        <v>68.927654226785691</v>
      </c>
      <c r="CE32">
        <f t="shared" si="26"/>
        <v>68.92765422678653</v>
      </c>
      <c r="CF32">
        <f t="shared" si="26"/>
        <v>68.92765422678653</v>
      </c>
    </row>
    <row r="33" spans="1:84" x14ac:dyDescent="0.25">
      <c r="AH33" t="s">
        <v>55</v>
      </c>
      <c r="AI33">
        <f>(AI31+AI32)/2</f>
        <v>116.68602863858615</v>
      </c>
      <c r="AJ33">
        <f>(AJ31+AJ32)/2</f>
        <v>58.343014319293076</v>
      </c>
      <c r="AK33">
        <f t="shared" ref="AK33:CF33" si="27">(AK31+AK32)/2</f>
        <v>87.514521478939614</v>
      </c>
      <c r="AL33">
        <f t="shared" si="27"/>
        <v>72.928767899116338</v>
      </c>
      <c r="AM33">
        <f t="shared" si="27"/>
        <v>65.635891109204707</v>
      </c>
      <c r="AN33">
        <f t="shared" si="27"/>
        <v>69.282329504160515</v>
      </c>
      <c r="AO33">
        <f t="shared" si="27"/>
        <v>67.459110306682618</v>
      </c>
      <c r="AP33">
        <f t="shared" si="27"/>
        <v>68.370719905421566</v>
      </c>
      <c r="AQ33">
        <f t="shared" si="27"/>
        <v>68.826524704791041</v>
      </c>
      <c r="AR33">
        <f t="shared" si="27"/>
        <v>69.054427104475778</v>
      </c>
      <c r="AS33">
        <f t="shared" si="27"/>
        <v>68.940475904633416</v>
      </c>
      <c r="AT33">
        <f t="shared" si="27"/>
        <v>68.883500304712229</v>
      </c>
      <c r="AU33">
        <f t="shared" si="27"/>
        <v>68.911988104672815</v>
      </c>
      <c r="AV33">
        <f t="shared" si="27"/>
        <v>68.926232004653116</v>
      </c>
      <c r="AW33">
        <f t="shared" si="27"/>
        <v>68.933353954643266</v>
      </c>
      <c r="AX33">
        <f t="shared" si="27"/>
        <v>68.929792979648198</v>
      </c>
      <c r="AY33">
        <f t="shared" si="27"/>
        <v>68.928012492150657</v>
      </c>
      <c r="AZ33">
        <f t="shared" si="27"/>
        <v>68.927122248401886</v>
      </c>
      <c r="BA33">
        <f t="shared" si="27"/>
        <v>68.927567370276279</v>
      </c>
      <c r="BB33">
        <f t="shared" si="27"/>
        <v>68.927789931213468</v>
      </c>
      <c r="BC33">
        <f t="shared" si="27"/>
        <v>68.927678650744866</v>
      </c>
      <c r="BD33">
        <f t="shared" si="27"/>
        <v>68.927623010510572</v>
      </c>
      <c r="BE33">
        <f t="shared" si="27"/>
        <v>68.927650830627726</v>
      </c>
      <c r="BF33">
        <f t="shared" si="27"/>
        <v>68.927664740686296</v>
      </c>
      <c r="BG33">
        <f t="shared" si="27"/>
        <v>68.927657785657004</v>
      </c>
      <c r="BH33">
        <f t="shared" si="27"/>
        <v>68.927654308142365</v>
      </c>
      <c r="BI33">
        <f t="shared" si="27"/>
        <v>68.927652569385046</v>
      </c>
      <c r="BJ33">
        <f t="shared" si="27"/>
        <v>68.927653438763713</v>
      </c>
      <c r="BK33">
        <f t="shared" si="27"/>
        <v>68.927653873453039</v>
      </c>
      <c r="BL33">
        <f t="shared" si="27"/>
        <v>68.927654090797702</v>
      </c>
      <c r="BM33">
        <f t="shared" si="27"/>
        <v>68.927654199470027</v>
      </c>
      <c r="BN33">
        <f t="shared" si="27"/>
        <v>68.927654253806196</v>
      </c>
      <c r="BO33">
        <f t="shared" si="27"/>
        <v>68.927654226638111</v>
      </c>
      <c r="BP33">
        <f t="shared" si="27"/>
        <v>68.927654240222154</v>
      </c>
      <c r="BQ33">
        <f t="shared" si="27"/>
        <v>68.927654233430133</v>
      </c>
      <c r="BR33">
        <f t="shared" si="27"/>
        <v>68.927654230034122</v>
      </c>
      <c r="BS33">
        <f t="shared" si="27"/>
        <v>68.92765422833611</v>
      </c>
      <c r="BT33">
        <f t="shared" si="27"/>
        <v>68.92765422748711</v>
      </c>
      <c r="BU33">
        <f t="shared" si="27"/>
        <v>68.927654227062618</v>
      </c>
      <c r="BV33">
        <f t="shared" si="27"/>
        <v>68.927654226850365</v>
      </c>
      <c r="BW33">
        <f t="shared" si="27"/>
        <v>68.927654226744238</v>
      </c>
      <c r="BX33">
        <f t="shared" si="27"/>
        <v>68.927654226797301</v>
      </c>
      <c r="BY33">
        <f t="shared" si="27"/>
        <v>68.92765422677077</v>
      </c>
      <c r="BZ33">
        <f t="shared" si="27"/>
        <v>68.927654226784028</v>
      </c>
      <c r="CA33">
        <f t="shared" si="27"/>
        <v>68.927654226790665</v>
      </c>
      <c r="CB33">
        <f t="shared" si="27"/>
        <v>68.927654226787354</v>
      </c>
      <c r="CC33">
        <f t="shared" si="27"/>
        <v>68.927654226785691</v>
      </c>
      <c r="CD33">
        <f t="shared" si="27"/>
        <v>68.92765422678653</v>
      </c>
      <c r="CE33">
        <f t="shared" si="27"/>
        <v>68.927654226786942</v>
      </c>
      <c r="CF33" s="46">
        <f t="shared" si="27"/>
        <v>68.927654226786728</v>
      </c>
    </row>
    <row r="34" spans="1:84" x14ac:dyDescent="0.25">
      <c r="A34">
        <v>1</v>
      </c>
      <c r="B34">
        <v>2</v>
      </c>
      <c r="C34">
        <v>3</v>
      </c>
      <c r="D34">
        <v>4</v>
      </c>
      <c r="E34">
        <v>5</v>
      </c>
      <c r="F34">
        <v>6</v>
      </c>
      <c r="G34">
        <v>7</v>
      </c>
      <c r="H34">
        <v>8</v>
      </c>
      <c r="I34">
        <v>9</v>
      </c>
      <c r="J34">
        <v>10</v>
      </c>
      <c r="K34">
        <v>11</v>
      </c>
      <c r="L34">
        <v>12</v>
      </c>
      <c r="M34">
        <v>13</v>
      </c>
      <c r="N34">
        <v>14</v>
      </c>
      <c r="O34">
        <v>15</v>
      </c>
      <c r="P34">
        <v>16</v>
      </c>
      <c r="Q34">
        <v>17</v>
      </c>
      <c r="R34">
        <v>18</v>
      </c>
      <c r="S34">
        <v>19</v>
      </c>
      <c r="T34">
        <v>20</v>
      </c>
      <c r="U34">
        <v>21</v>
      </c>
      <c r="V34">
        <v>22</v>
      </c>
      <c r="W34">
        <v>23</v>
      </c>
      <c r="X34">
        <v>24</v>
      </c>
      <c r="Y34">
        <v>25</v>
      </c>
      <c r="Z34">
        <v>26</v>
      </c>
      <c r="AH34" t="s">
        <v>66</v>
      </c>
      <c r="AI34">
        <f>Foglio1!$W$10</f>
        <v>0.13809227787132397</v>
      </c>
      <c r="AJ34">
        <f>Foglio1!$W$10</f>
        <v>0.13809227787132397</v>
      </c>
      <c r="AK34">
        <f>Foglio1!$W$10</f>
        <v>0.13809227787132397</v>
      </c>
      <c r="AL34">
        <f>Foglio1!$W$10</f>
        <v>0.13809227787132397</v>
      </c>
      <c r="AM34">
        <f>Foglio1!$W$10</f>
        <v>0.13809227787132397</v>
      </c>
      <c r="AN34">
        <f>Foglio1!$W$10</f>
        <v>0.13809227787132397</v>
      </c>
      <c r="AO34">
        <f>Foglio1!$W$10</f>
        <v>0.13809227787132397</v>
      </c>
      <c r="AP34">
        <f>Foglio1!$W$10</f>
        <v>0.13809227787132397</v>
      </c>
      <c r="AQ34">
        <f>Foglio1!$W$10</f>
        <v>0.13809227787132397</v>
      </c>
      <c r="AR34">
        <f>Foglio1!$W$10</f>
        <v>0.13809227787132397</v>
      </c>
      <c r="AS34">
        <f>Foglio1!$W$10</f>
        <v>0.13809227787132397</v>
      </c>
      <c r="AT34">
        <f>Foglio1!$W$10</f>
        <v>0.13809227787132397</v>
      </c>
      <c r="AU34">
        <f>Foglio1!$W$10</f>
        <v>0.13809227787132397</v>
      </c>
      <c r="AV34">
        <f>Foglio1!$W$10</f>
        <v>0.13809227787132397</v>
      </c>
      <c r="AW34">
        <f>Foglio1!$W$10</f>
        <v>0.13809227787132397</v>
      </c>
      <c r="AX34">
        <f>Foglio1!$W$10</f>
        <v>0.13809227787132397</v>
      </c>
      <c r="AY34">
        <f>Foglio1!$W$10</f>
        <v>0.13809227787132397</v>
      </c>
      <c r="AZ34">
        <f>Foglio1!$W$10</f>
        <v>0.13809227787132397</v>
      </c>
      <c r="BA34">
        <f>Foglio1!$W$10</f>
        <v>0.13809227787132397</v>
      </c>
      <c r="BB34">
        <f>Foglio1!$W$10</f>
        <v>0.13809227787132397</v>
      </c>
      <c r="BC34">
        <f>Foglio1!$W$10</f>
        <v>0.13809227787132397</v>
      </c>
      <c r="BD34">
        <f>Foglio1!$W$10</f>
        <v>0.13809227787132397</v>
      </c>
      <c r="BE34">
        <f>Foglio1!$W$10</f>
        <v>0.13809227787132397</v>
      </c>
      <c r="BF34">
        <f>Foglio1!$W$10</f>
        <v>0.13809227787132397</v>
      </c>
      <c r="BG34">
        <f>Foglio1!$W$10</f>
        <v>0.13809227787132397</v>
      </c>
      <c r="BH34">
        <f>Foglio1!$W$10</f>
        <v>0.13809227787132397</v>
      </c>
      <c r="BI34">
        <f>Foglio1!$W$10</f>
        <v>0.13809227787132397</v>
      </c>
      <c r="BJ34">
        <f>Foglio1!$W$10</f>
        <v>0.13809227787132397</v>
      </c>
      <c r="BK34">
        <f>Foglio1!$W$10</f>
        <v>0.13809227787132397</v>
      </c>
      <c r="BL34">
        <f>Foglio1!$W$10</f>
        <v>0.13809227787132397</v>
      </c>
      <c r="BM34">
        <f>Foglio1!$W$10</f>
        <v>0.13809227787132397</v>
      </c>
      <c r="BN34">
        <f>Foglio1!$W$10</f>
        <v>0.13809227787132397</v>
      </c>
      <c r="BO34">
        <f>Foglio1!$W$10</f>
        <v>0.13809227787132397</v>
      </c>
      <c r="BP34">
        <f>Foglio1!$W$10</f>
        <v>0.13809227787132397</v>
      </c>
      <c r="BQ34">
        <f>Foglio1!$W$10</f>
        <v>0.13809227787132397</v>
      </c>
      <c r="BR34">
        <f>Foglio1!$W$10</f>
        <v>0.13809227787132397</v>
      </c>
      <c r="BS34">
        <f>Foglio1!$W$10</f>
        <v>0.13809227787132397</v>
      </c>
      <c r="BT34">
        <f>Foglio1!$W$10</f>
        <v>0.13809227787132397</v>
      </c>
      <c r="BU34">
        <f>Foglio1!$W$10</f>
        <v>0.13809227787132397</v>
      </c>
      <c r="BV34">
        <f>Foglio1!$W$10</f>
        <v>0.13809227787132397</v>
      </c>
      <c r="BW34">
        <f>Foglio1!$W$10</f>
        <v>0.13809227787132397</v>
      </c>
      <c r="BX34">
        <f>Foglio1!$W$10</f>
        <v>0.13809227787132397</v>
      </c>
      <c r="BY34">
        <f>Foglio1!$W$10</f>
        <v>0.13809227787132397</v>
      </c>
      <c r="BZ34">
        <f>Foglio1!$W$10</f>
        <v>0.13809227787132397</v>
      </c>
      <c r="CA34">
        <f>Foglio1!$W$10</f>
        <v>0.13809227787132397</v>
      </c>
      <c r="CB34">
        <f>Foglio1!$W$10</f>
        <v>0.13809227787132397</v>
      </c>
      <c r="CC34">
        <f>Foglio1!$W$10</f>
        <v>0.13809227787132397</v>
      </c>
      <c r="CD34">
        <f>Foglio1!$W$10</f>
        <v>0.13809227787132397</v>
      </c>
      <c r="CE34">
        <f>Foglio1!$W$10</f>
        <v>0.13809227787132397</v>
      </c>
      <c r="CF34">
        <f>Foglio1!$W$10</f>
        <v>0.13809227787132397</v>
      </c>
    </row>
    <row r="35" spans="1:84" x14ac:dyDescent="0.25">
      <c r="AH35" t="s">
        <v>67</v>
      </c>
      <c r="AI35">
        <f>Foglio1!$W$11</f>
        <v>0.31445109057446063</v>
      </c>
      <c r="AJ35">
        <f>Foglio1!$W$11</f>
        <v>0.31445109057446063</v>
      </c>
      <c r="AK35">
        <f>Foglio1!$W$11</f>
        <v>0.31445109057446063</v>
      </c>
      <c r="AL35">
        <f>Foglio1!$W$11</f>
        <v>0.31445109057446063</v>
      </c>
      <c r="AM35">
        <f>Foglio1!$W$11</f>
        <v>0.31445109057446063</v>
      </c>
      <c r="AN35">
        <f>Foglio1!$W$11</f>
        <v>0.31445109057446063</v>
      </c>
      <c r="AO35">
        <f>Foglio1!$W$11</f>
        <v>0.31445109057446063</v>
      </c>
      <c r="AP35">
        <f>Foglio1!$W$11</f>
        <v>0.31445109057446063</v>
      </c>
      <c r="AQ35">
        <f>Foglio1!$W$11</f>
        <v>0.31445109057446063</v>
      </c>
      <c r="AR35">
        <f>Foglio1!$W$11</f>
        <v>0.31445109057446063</v>
      </c>
      <c r="AS35">
        <f>Foglio1!$W$11</f>
        <v>0.31445109057446063</v>
      </c>
      <c r="AT35">
        <f>Foglio1!$W$11</f>
        <v>0.31445109057446063</v>
      </c>
      <c r="AU35">
        <f>Foglio1!$W$11</f>
        <v>0.31445109057446063</v>
      </c>
      <c r="AV35">
        <f>Foglio1!$W$11</f>
        <v>0.31445109057446063</v>
      </c>
      <c r="AW35">
        <f>Foglio1!$W$11</f>
        <v>0.31445109057446063</v>
      </c>
      <c r="AX35">
        <f>Foglio1!$W$11</f>
        <v>0.31445109057446063</v>
      </c>
      <c r="AY35">
        <f>Foglio1!$W$11</f>
        <v>0.31445109057446063</v>
      </c>
      <c r="AZ35">
        <f>Foglio1!$W$11</f>
        <v>0.31445109057446063</v>
      </c>
      <c r="BA35">
        <f>Foglio1!$W$11</f>
        <v>0.31445109057446063</v>
      </c>
      <c r="BB35">
        <f>Foglio1!$W$11</f>
        <v>0.31445109057446063</v>
      </c>
      <c r="BC35">
        <f>Foglio1!$W$11</f>
        <v>0.31445109057446063</v>
      </c>
      <c r="BD35">
        <f>Foglio1!$W$11</f>
        <v>0.31445109057446063</v>
      </c>
      <c r="BE35">
        <f>Foglio1!$W$11</f>
        <v>0.31445109057446063</v>
      </c>
      <c r="BF35">
        <f>Foglio1!$W$11</f>
        <v>0.31445109057446063</v>
      </c>
      <c r="BG35">
        <f>Foglio1!$W$11</f>
        <v>0.31445109057446063</v>
      </c>
      <c r="BH35">
        <f>Foglio1!$W$11</f>
        <v>0.31445109057446063</v>
      </c>
      <c r="BI35">
        <f>Foglio1!$W$11</f>
        <v>0.31445109057446063</v>
      </c>
      <c r="BJ35">
        <f>Foglio1!$W$11</f>
        <v>0.31445109057446063</v>
      </c>
      <c r="BK35">
        <f>Foglio1!$W$11</f>
        <v>0.31445109057446063</v>
      </c>
      <c r="BL35">
        <f>Foglio1!$W$11</f>
        <v>0.31445109057446063</v>
      </c>
      <c r="BM35">
        <f>Foglio1!$W$11</f>
        <v>0.31445109057446063</v>
      </c>
      <c r="BN35">
        <f>Foglio1!$W$11</f>
        <v>0.31445109057446063</v>
      </c>
      <c r="BO35">
        <f>Foglio1!$W$11</f>
        <v>0.31445109057446063</v>
      </c>
      <c r="BP35">
        <f>Foglio1!$W$11</f>
        <v>0.31445109057446063</v>
      </c>
      <c r="BQ35">
        <f>Foglio1!$W$11</f>
        <v>0.31445109057446063</v>
      </c>
      <c r="BR35">
        <f>Foglio1!$W$11</f>
        <v>0.31445109057446063</v>
      </c>
      <c r="BS35">
        <f>Foglio1!$W$11</f>
        <v>0.31445109057446063</v>
      </c>
      <c r="BT35">
        <f>Foglio1!$W$11</f>
        <v>0.31445109057446063</v>
      </c>
      <c r="BU35">
        <f>Foglio1!$W$11</f>
        <v>0.31445109057446063</v>
      </c>
      <c r="BV35">
        <f>Foglio1!$W$11</f>
        <v>0.31445109057446063</v>
      </c>
      <c r="BW35">
        <f>Foglio1!$W$11</f>
        <v>0.31445109057446063</v>
      </c>
      <c r="BX35">
        <f>Foglio1!$W$11</f>
        <v>0.31445109057446063</v>
      </c>
      <c r="BY35">
        <f>Foglio1!$W$11</f>
        <v>0.31445109057446063</v>
      </c>
      <c r="BZ35">
        <f>Foglio1!$W$11</f>
        <v>0.31445109057446063</v>
      </c>
      <c r="CA35">
        <f>Foglio1!$W$11</f>
        <v>0.31445109057446063</v>
      </c>
      <c r="CB35">
        <f>Foglio1!$W$11</f>
        <v>0.31445109057446063</v>
      </c>
      <c r="CC35">
        <f>Foglio1!$W$11</f>
        <v>0.31445109057446063</v>
      </c>
      <c r="CD35">
        <f>Foglio1!$W$11</f>
        <v>0.31445109057446063</v>
      </c>
      <c r="CE35">
        <f>Foglio1!$W$11</f>
        <v>0.31445109057446063</v>
      </c>
      <c r="CF35">
        <f>Foglio1!$W$11</f>
        <v>0.31445109057446063</v>
      </c>
    </row>
    <row r="36" spans="1:84" x14ac:dyDescent="0.25">
      <c r="AH36" t="s">
        <v>68</v>
      </c>
      <c r="AI36">
        <f>Foglio1!$W$12</f>
        <v>0.51794214950366135</v>
      </c>
      <c r="AJ36">
        <f>Foglio1!$W$12</f>
        <v>0.51794214950366135</v>
      </c>
      <c r="AK36">
        <f>Foglio1!$W$12</f>
        <v>0.51794214950366135</v>
      </c>
      <c r="AL36">
        <f>Foglio1!$W$12</f>
        <v>0.51794214950366135</v>
      </c>
      <c r="AM36">
        <f>Foglio1!$W$12</f>
        <v>0.51794214950366135</v>
      </c>
      <c r="AN36">
        <f>Foglio1!$W$12</f>
        <v>0.51794214950366135</v>
      </c>
      <c r="AO36">
        <f>Foglio1!$W$12</f>
        <v>0.51794214950366135</v>
      </c>
      <c r="AP36">
        <f>Foglio1!$W$12</f>
        <v>0.51794214950366135</v>
      </c>
      <c r="AQ36">
        <f>Foglio1!$W$12</f>
        <v>0.51794214950366135</v>
      </c>
      <c r="AR36">
        <f>Foglio1!$W$12</f>
        <v>0.51794214950366135</v>
      </c>
      <c r="AS36">
        <f>Foglio1!$W$12</f>
        <v>0.51794214950366135</v>
      </c>
      <c r="AT36">
        <f>Foglio1!$W$12</f>
        <v>0.51794214950366135</v>
      </c>
      <c r="AU36">
        <f>Foglio1!$W$12</f>
        <v>0.51794214950366135</v>
      </c>
      <c r="AV36">
        <f>Foglio1!$W$12</f>
        <v>0.51794214950366135</v>
      </c>
      <c r="AW36">
        <f>Foglio1!$W$12</f>
        <v>0.51794214950366135</v>
      </c>
      <c r="AX36">
        <f>Foglio1!$W$12</f>
        <v>0.51794214950366135</v>
      </c>
      <c r="AY36">
        <f>Foglio1!$W$12</f>
        <v>0.51794214950366135</v>
      </c>
      <c r="AZ36">
        <f>Foglio1!$W$12</f>
        <v>0.51794214950366135</v>
      </c>
      <c r="BA36">
        <f>Foglio1!$W$12</f>
        <v>0.51794214950366135</v>
      </c>
      <c r="BB36">
        <f>Foglio1!$W$12</f>
        <v>0.51794214950366135</v>
      </c>
      <c r="BC36">
        <f>Foglio1!$W$12</f>
        <v>0.51794214950366135</v>
      </c>
      <c r="BD36">
        <f>Foglio1!$W$12</f>
        <v>0.51794214950366135</v>
      </c>
      <c r="BE36">
        <f>Foglio1!$W$12</f>
        <v>0.51794214950366135</v>
      </c>
      <c r="BF36">
        <f>Foglio1!$W$12</f>
        <v>0.51794214950366135</v>
      </c>
      <c r="BG36">
        <f>Foglio1!$W$12</f>
        <v>0.51794214950366135</v>
      </c>
      <c r="BH36">
        <f>Foglio1!$W$12</f>
        <v>0.51794214950366135</v>
      </c>
      <c r="BI36">
        <f>Foglio1!$W$12</f>
        <v>0.51794214950366135</v>
      </c>
      <c r="BJ36">
        <f>Foglio1!$W$12</f>
        <v>0.51794214950366135</v>
      </c>
      <c r="BK36">
        <f>Foglio1!$W$12</f>
        <v>0.51794214950366135</v>
      </c>
      <c r="BL36">
        <f>Foglio1!$W$12</f>
        <v>0.51794214950366135</v>
      </c>
      <c r="BM36">
        <f>Foglio1!$W$12</f>
        <v>0.51794214950366135</v>
      </c>
      <c r="BN36">
        <f>Foglio1!$W$12</f>
        <v>0.51794214950366135</v>
      </c>
      <c r="BO36">
        <f>Foglio1!$W$12</f>
        <v>0.51794214950366135</v>
      </c>
      <c r="BP36">
        <f>Foglio1!$W$12</f>
        <v>0.51794214950366135</v>
      </c>
      <c r="BQ36">
        <f>Foglio1!$W$12</f>
        <v>0.51794214950366135</v>
      </c>
      <c r="BR36">
        <f>Foglio1!$W$12</f>
        <v>0.51794214950366135</v>
      </c>
      <c r="BS36">
        <f>Foglio1!$W$12</f>
        <v>0.51794214950366135</v>
      </c>
      <c r="BT36">
        <f>Foglio1!$W$12</f>
        <v>0.51794214950366135</v>
      </c>
      <c r="BU36">
        <f>Foglio1!$W$12</f>
        <v>0.51794214950366135</v>
      </c>
      <c r="BV36">
        <f>Foglio1!$W$12</f>
        <v>0.51794214950366135</v>
      </c>
      <c r="BW36">
        <f>Foglio1!$W$12</f>
        <v>0.51794214950366135</v>
      </c>
      <c r="BX36">
        <f>Foglio1!$W$12</f>
        <v>0.51794214950366135</v>
      </c>
      <c r="BY36">
        <f>Foglio1!$W$12</f>
        <v>0.51794214950366135</v>
      </c>
      <c r="BZ36">
        <f>Foglio1!$W$12</f>
        <v>0.51794214950366135</v>
      </c>
      <c r="CA36">
        <f>Foglio1!$W$12</f>
        <v>0.51794214950366135</v>
      </c>
      <c r="CB36">
        <f>Foglio1!$W$12</f>
        <v>0.51794214950366135</v>
      </c>
      <c r="CC36">
        <f>Foglio1!$W$12</f>
        <v>0.51794214950366135</v>
      </c>
      <c r="CD36">
        <f>Foglio1!$W$12</f>
        <v>0.51794214950366135</v>
      </c>
      <c r="CE36">
        <f>Foglio1!$W$12</f>
        <v>0.51794214950366135</v>
      </c>
      <c r="CF36">
        <f>Foglio1!$W$12</f>
        <v>0.51794214950366135</v>
      </c>
    </row>
    <row r="37" spans="1:84" x14ac:dyDescent="0.25">
      <c r="AH37" t="s">
        <v>69</v>
      </c>
      <c r="AI37">
        <f>Foglio1!$W$13</f>
        <v>2.3542265267063482E-2</v>
      </c>
      <c r="AJ37">
        <f>Foglio1!$W$13</f>
        <v>2.3542265267063482E-2</v>
      </c>
      <c r="AK37">
        <f>Foglio1!$W$13</f>
        <v>2.3542265267063482E-2</v>
      </c>
      <c r="AL37">
        <f>Foglio1!$W$13</f>
        <v>2.3542265267063482E-2</v>
      </c>
      <c r="AM37">
        <f>Foglio1!$W$13</f>
        <v>2.3542265267063482E-2</v>
      </c>
      <c r="AN37">
        <f>Foglio1!$W$13</f>
        <v>2.3542265267063482E-2</v>
      </c>
      <c r="AO37">
        <f>Foglio1!$W$13</f>
        <v>2.3542265267063482E-2</v>
      </c>
      <c r="AP37">
        <f>Foglio1!$W$13</f>
        <v>2.3542265267063482E-2</v>
      </c>
      <c r="AQ37">
        <f>Foglio1!$W$13</f>
        <v>2.3542265267063482E-2</v>
      </c>
      <c r="AR37">
        <f>Foglio1!$W$13</f>
        <v>2.3542265267063482E-2</v>
      </c>
      <c r="AS37">
        <f>Foglio1!$W$13</f>
        <v>2.3542265267063482E-2</v>
      </c>
      <c r="AT37">
        <f>Foglio1!$W$13</f>
        <v>2.3542265267063482E-2</v>
      </c>
      <c r="AU37">
        <f>Foglio1!$W$13</f>
        <v>2.3542265267063482E-2</v>
      </c>
      <c r="AV37">
        <f>Foglio1!$W$13</f>
        <v>2.3542265267063482E-2</v>
      </c>
      <c r="AW37">
        <f>Foglio1!$W$13</f>
        <v>2.3542265267063482E-2</v>
      </c>
      <c r="AX37">
        <f>Foglio1!$W$13</f>
        <v>2.3542265267063482E-2</v>
      </c>
      <c r="AY37">
        <f>Foglio1!$W$13</f>
        <v>2.3542265267063482E-2</v>
      </c>
      <c r="AZ37">
        <f>Foglio1!$W$13</f>
        <v>2.3542265267063482E-2</v>
      </c>
      <c r="BA37">
        <f>Foglio1!$W$13</f>
        <v>2.3542265267063482E-2</v>
      </c>
      <c r="BB37">
        <f>Foglio1!$W$13</f>
        <v>2.3542265267063482E-2</v>
      </c>
      <c r="BC37">
        <f>Foglio1!$W$13</f>
        <v>2.3542265267063482E-2</v>
      </c>
      <c r="BD37">
        <f>Foglio1!$W$13</f>
        <v>2.3542265267063482E-2</v>
      </c>
      <c r="BE37">
        <f>Foglio1!$W$13</f>
        <v>2.3542265267063482E-2</v>
      </c>
      <c r="BF37">
        <f>Foglio1!$W$13</f>
        <v>2.3542265267063482E-2</v>
      </c>
      <c r="BG37">
        <f>Foglio1!$W$13</f>
        <v>2.3542265267063482E-2</v>
      </c>
      <c r="BH37">
        <f>Foglio1!$W$13</f>
        <v>2.3542265267063482E-2</v>
      </c>
      <c r="BI37">
        <f>Foglio1!$W$13</f>
        <v>2.3542265267063482E-2</v>
      </c>
      <c r="BJ37">
        <f>Foglio1!$W$13</f>
        <v>2.3542265267063482E-2</v>
      </c>
      <c r="BK37">
        <f>Foglio1!$W$13</f>
        <v>2.3542265267063482E-2</v>
      </c>
      <c r="BL37">
        <f>Foglio1!$W$13</f>
        <v>2.3542265267063482E-2</v>
      </c>
      <c r="BM37">
        <f>Foglio1!$W$13</f>
        <v>2.3542265267063482E-2</v>
      </c>
      <c r="BN37">
        <f>Foglio1!$W$13</f>
        <v>2.3542265267063482E-2</v>
      </c>
      <c r="BO37">
        <f>Foglio1!$W$13</f>
        <v>2.3542265267063482E-2</v>
      </c>
      <c r="BP37">
        <f>Foglio1!$W$13</f>
        <v>2.3542265267063482E-2</v>
      </c>
      <c r="BQ37">
        <f>Foglio1!$W$13</f>
        <v>2.3542265267063482E-2</v>
      </c>
      <c r="BR37">
        <f>Foglio1!$W$13</f>
        <v>2.3542265267063482E-2</v>
      </c>
      <c r="BS37">
        <f>Foglio1!$W$13</f>
        <v>2.3542265267063482E-2</v>
      </c>
      <c r="BT37">
        <f>Foglio1!$W$13</f>
        <v>2.3542265267063482E-2</v>
      </c>
      <c r="BU37">
        <f>Foglio1!$W$13</f>
        <v>2.3542265267063482E-2</v>
      </c>
      <c r="BV37">
        <f>Foglio1!$W$13</f>
        <v>2.3542265267063482E-2</v>
      </c>
      <c r="BW37">
        <f>Foglio1!$W$13</f>
        <v>2.3542265267063482E-2</v>
      </c>
      <c r="BX37">
        <f>Foglio1!$W$13</f>
        <v>2.3542265267063482E-2</v>
      </c>
      <c r="BY37">
        <f>Foglio1!$W$13</f>
        <v>2.3542265267063482E-2</v>
      </c>
      <c r="BZ37">
        <f>Foglio1!$W$13</f>
        <v>2.3542265267063482E-2</v>
      </c>
      <c r="CA37">
        <f>Foglio1!$W$13</f>
        <v>2.3542265267063482E-2</v>
      </c>
      <c r="CB37">
        <f>Foglio1!$W$13</f>
        <v>2.3542265267063482E-2</v>
      </c>
      <c r="CC37">
        <f>Foglio1!$W$13</f>
        <v>2.3542265267063482E-2</v>
      </c>
      <c r="CD37">
        <f>Foglio1!$W$13</f>
        <v>2.3542265267063482E-2</v>
      </c>
      <c r="CE37">
        <f>Foglio1!$W$13</f>
        <v>2.3542265267063482E-2</v>
      </c>
      <c r="CF37">
        <f>Foglio1!$W$13</f>
        <v>2.3542265267063482E-2</v>
      </c>
    </row>
    <row r="38" spans="1:84" x14ac:dyDescent="0.25">
      <c r="AH38" t="s">
        <v>70</v>
      </c>
      <c r="AI38">
        <f>Foglio1!$W$14</f>
        <v>5.9722167834906238E-3</v>
      </c>
      <c r="AJ38">
        <f>Foglio1!$W$14</f>
        <v>5.9722167834906238E-3</v>
      </c>
      <c r="AK38">
        <f>Foglio1!$W$14</f>
        <v>5.9722167834906238E-3</v>
      </c>
      <c r="AL38">
        <f>Foglio1!$W$14</f>
        <v>5.9722167834906238E-3</v>
      </c>
      <c r="AM38">
        <f>Foglio1!$W$14</f>
        <v>5.9722167834906238E-3</v>
      </c>
      <c r="AN38">
        <f>Foglio1!$W$14</f>
        <v>5.9722167834906238E-3</v>
      </c>
      <c r="AO38">
        <f>Foglio1!$W$14</f>
        <v>5.9722167834906238E-3</v>
      </c>
      <c r="AP38">
        <f>Foglio1!$W$14</f>
        <v>5.9722167834906238E-3</v>
      </c>
      <c r="AQ38">
        <f>Foglio1!$W$14</f>
        <v>5.9722167834906238E-3</v>
      </c>
      <c r="AR38">
        <f>Foglio1!$W$14</f>
        <v>5.9722167834906238E-3</v>
      </c>
      <c r="AS38">
        <f>Foglio1!$W$14</f>
        <v>5.9722167834906238E-3</v>
      </c>
      <c r="AT38">
        <f>Foglio1!$W$14</f>
        <v>5.9722167834906238E-3</v>
      </c>
      <c r="AU38">
        <f>Foglio1!$W$14</f>
        <v>5.9722167834906238E-3</v>
      </c>
      <c r="AV38">
        <f>Foglio1!$W$14</f>
        <v>5.9722167834906238E-3</v>
      </c>
      <c r="AW38">
        <f>Foglio1!$W$14</f>
        <v>5.9722167834906238E-3</v>
      </c>
      <c r="AX38">
        <f>Foglio1!$W$14</f>
        <v>5.9722167834906238E-3</v>
      </c>
      <c r="AY38">
        <f>Foglio1!$W$14</f>
        <v>5.9722167834906238E-3</v>
      </c>
      <c r="AZ38">
        <f>Foglio1!$W$14</f>
        <v>5.9722167834906238E-3</v>
      </c>
      <c r="BA38">
        <f>Foglio1!$W$14</f>
        <v>5.9722167834906238E-3</v>
      </c>
      <c r="BB38">
        <f>Foglio1!$W$14</f>
        <v>5.9722167834906238E-3</v>
      </c>
      <c r="BC38">
        <f>Foglio1!$W$14</f>
        <v>5.9722167834906238E-3</v>
      </c>
      <c r="BD38">
        <f>Foglio1!$W$14</f>
        <v>5.9722167834906238E-3</v>
      </c>
      <c r="BE38">
        <f>Foglio1!$W$14</f>
        <v>5.9722167834906238E-3</v>
      </c>
      <c r="BF38">
        <f>Foglio1!$W$14</f>
        <v>5.9722167834906238E-3</v>
      </c>
      <c r="BG38">
        <f>Foglio1!$W$14</f>
        <v>5.9722167834906238E-3</v>
      </c>
      <c r="BH38">
        <f>Foglio1!$W$14</f>
        <v>5.9722167834906238E-3</v>
      </c>
      <c r="BI38">
        <f>Foglio1!$W$14</f>
        <v>5.9722167834906238E-3</v>
      </c>
      <c r="BJ38">
        <f>Foglio1!$W$14</f>
        <v>5.9722167834906238E-3</v>
      </c>
      <c r="BK38">
        <f>Foglio1!$W$14</f>
        <v>5.9722167834906238E-3</v>
      </c>
      <c r="BL38">
        <f>Foglio1!$W$14</f>
        <v>5.9722167834906238E-3</v>
      </c>
      <c r="BM38">
        <f>Foglio1!$W$14</f>
        <v>5.9722167834906238E-3</v>
      </c>
      <c r="BN38">
        <f>Foglio1!$W$14</f>
        <v>5.9722167834906238E-3</v>
      </c>
      <c r="BO38">
        <f>Foglio1!$W$14</f>
        <v>5.9722167834906238E-3</v>
      </c>
      <c r="BP38">
        <f>Foglio1!$W$14</f>
        <v>5.9722167834906238E-3</v>
      </c>
      <c r="BQ38">
        <f>Foglio1!$W$14</f>
        <v>5.9722167834906238E-3</v>
      </c>
      <c r="BR38">
        <f>Foglio1!$W$14</f>
        <v>5.9722167834906238E-3</v>
      </c>
      <c r="BS38">
        <f>Foglio1!$W$14</f>
        <v>5.9722167834906238E-3</v>
      </c>
      <c r="BT38">
        <f>Foglio1!$W$14</f>
        <v>5.9722167834906238E-3</v>
      </c>
      <c r="BU38">
        <f>Foglio1!$W$14</f>
        <v>5.9722167834906238E-3</v>
      </c>
      <c r="BV38">
        <f>Foglio1!$W$14</f>
        <v>5.9722167834906238E-3</v>
      </c>
      <c r="BW38">
        <f>Foglio1!$W$14</f>
        <v>5.9722167834906238E-3</v>
      </c>
      <c r="BX38">
        <f>Foglio1!$W$14</f>
        <v>5.9722167834906238E-3</v>
      </c>
      <c r="BY38">
        <f>Foglio1!$W$14</f>
        <v>5.9722167834906238E-3</v>
      </c>
      <c r="BZ38">
        <f>Foglio1!$W$14</f>
        <v>5.9722167834906238E-3</v>
      </c>
      <c r="CA38">
        <f>Foglio1!$W$14</f>
        <v>5.9722167834906238E-3</v>
      </c>
      <c r="CB38">
        <f>Foglio1!$W$14</f>
        <v>5.9722167834906238E-3</v>
      </c>
      <c r="CC38">
        <f>Foglio1!$W$14</f>
        <v>5.9722167834906238E-3</v>
      </c>
      <c r="CD38">
        <f>Foglio1!$W$14</f>
        <v>5.9722167834906238E-3</v>
      </c>
      <c r="CE38">
        <f>Foglio1!$W$14</f>
        <v>5.9722167834906238E-3</v>
      </c>
      <c r="CF38">
        <f>Foglio1!$W$14</f>
        <v>5.9722167834906238E-3</v>
      </c>
    </row>
    <row r="39" spans="1:84" x14ac:dyDescent="0.25">
      <c r="AH39" t="s">
        <v>71</v>
      </c>
      <c r="AI39">
        <f>Foglio1!$W$15</f>
        <v>0</v>
      </c>
      <c r="AJ39">
        <f>Foglio1!$W$15</f>
        <v>0</v>
      </c>
      <c r="AK39">
        <f>Foglio1!$W$15</f>
        <v>0</v>
      </c>
      <c r="AL39">
        <f>Foglio1!$W$15</f>
        <v>0</v>
      </c>
      <c r="AM39">
        <f>Foglio1!$W$15</f>
        <v>0</v>
      </c>
      <c r="AN39">
        <f>Foglio1!$W$15</f>
        <v>0</v>
      </c>
      <c r="AO39">
        <f>Foglio1!$W$15</f>
        <v>0</v>
      </c>
      <c r="AP39">
        <f>Foglio1!$W$15</f>
        <v>0</v>
      </c>
      <c r="AQ39">
        <f>Foglio1!$W$15</f>
        <v>0</v>
      </c>
      <c r="AR39">
        <f>Foglio1!$W$15</f>
        <v>0</v>
      </c>
      <c r="AS39">
        <f>Foglio1!$W$15</f>
        <v>0</v>
      </c>
      <c r="AT39">
        <f>Foglio1!$W$15</f>
        <v>0</v>
      </c>
      <c r="AU39">
        <f>Foglio1!$W$15</f>
        <v>0</v>
      </c>
      <c r="AV39">
        <f>Foglio1!$W$15</f>
        <v>0</v>
      </c>
      <c r="AW39">
        <f>Foglio1!$W$15</f>
        <v>0</v>
      </c>
      <c r="AX39">
        <f>Foglio1!$W$15</f>
        <v>0</v>
      </c>
      <c r="AY39">
        <f>Foglio1!$W$15</f>
        <v>0</v>
      </c>
      <c r="AZ39">
        <f>Foglio1!$W$15</f>
        <v>0</v>
      </c>
      <c r="BA39">
        <f>Foglio1!$W$15</f>
        <v>0</v>
      </c>
      <c r="BB39">
        <f>Foglio1!$W$15</f>
        <v>0</v>
      </c>
      <c r="BC39">
        <f>Foglio1!$W$15</f>
        <v>0</v>
      </c>
      <c r="BD39">
        <f>Foglio1!$W$15</f>
        <v>0</v>
      </c>
      <c r="BE39">
        <f>Foglio1!$W$15</f>
        <v>0</v>
      </c>
      <c r="BF39">
        <f>Foglio1!$W$15</f>
        <v>0</v>
      </c>
      <c r="BG39">
        <f>Foglio1!$W$15</f>
        <v>0</v>
      </c>
      <c r="BH39">
        <f>Foglio1!$W$15</f>
        <v>0</v>
      </c>
      <c r="BI39">
        <f>Foglio1!$W$15</f>
        <v>0</v>
      </c>
      <c r="BJ39">
        <f>Foglio1!$W$15</f>
        <v>0</v>
      </c>
      <c r="BK39">
        <f>Foglio1!$W$15</f>
        <v>0</v>
      </c>
      <c r="BL39">
        <f>Foglio1!$W$15</f>
        <v>0</v>
      </c>
      <c r="BM39">
        <f>Foglio1!$W$15</f>
        <v>0</v>
      </c>
      <c r="BN39">
        <f>Foglio1!$W$15</f>
        <v>0</v>
      </c>
      <c r="BO39">
        <f>Foglio1!$W$15</f>
        <v>0</v>
      </c>
      <c r="BP39">
        <f>Foglio1!$W$15</f>
        <v>0</v>
      </c>
      <c r="BQ39">
        <f>Foglio1!$W$15</f>
        <v>0</v>
      </c>
      <c r="BR39">
        <f>Foglio1!$W$15</f>
        <v>0</v>
      </c>
      <c r="BS39">
        <f>Foglio1!$W$15</f>
        <v>0</v>
      </c>
      <c r="BT39">
        <f>Foglio1!$W$15</f>
        <v>0</v>
      </c>
      <c r="BU39">
        <f>Foglio1!$W$15</f>
        <v>0</v>
      </c>
      <c r="BV39">
        <f>Foglio1!$W$15</f>
        <v>0</v>
      </c>
      <c r="BW39">
        <f>Foglio1!$W$15</f>
        <v>0</v>
      </c>
      <c r="BX39">
        <f>Foglio1!$W$15</f>
        <v>0</v>
      </c>
      <c r="BY39">
        <f>Foglio1!$W$15</f>
        <v>0</v>
      </c>
      <c r="BZ39">
        <f>Foglio1!$W$15</f>
        <v>0</v>
      </c>
      <c r="CA39">
        <f>Foglio1!$W$15</f>
        <v>0</v>
      </c>
      <c r="CB39">
        <f>Foglio1!$W$15</f>
        <v>0</v>
      </c>
      <c r="CC39">
        <f>Foglio1!$W$15</f>
        <v>0</v>
      </c>
      <c r="CD39">
        <f>Foglio1!$W$15</f>
        <v>0</v>
      </c>
      <c r="CE39">
        <f>Foglio1!$W$15</f>
        <v>0</v>
      </c>
      <c r="CF39">
        <f>Foglio1!$W$15</f>
        <v>0</v>
      </c>
    </row>
    <row r="40" spans="1:84" x14ac:dyDescent="0.25">
      <c r="AH40" t="s">
        <v>72</v>
      </c>
      <c r="AI40">
        <f>Foglio1!$W$16</f>
        <v>0</v>
      </c>
      <c r="AJ40">
        <f>Foglio1!$W$16</f>
        <v>0</v>
      </c>
      <c r="AK40">
        <f>Foglio1!$W$16</f>
        <v>0</v>
      </c>
      <c r="AL40">
        <f>Foglio1!$W$16</f>
        <v>0</v>
      </c>
      <c r="AM40">
        <f>Foglio1!$W$16</f>
        <v>0</v>
      </c>
      <c r="AN40">
        <f>Foglio1!$W$16</f>
        <v>0</v>
      </c>
      <c r="AO40">
        <f>Foglio1!$W$16</f>
        <v>0</v>
      </c>
      <c r="AP40">
        <f>Foglio1!$W$16</f>
        <v>0</v>
      </c>
      <c r="AQ40">
        <f>Foglio1!$W$16</f>
        <v>0</v>
      </c>
      <c r="AR40">
        <f>Foglio1!$W$16</f>
        <v>0</v>
      </c>
      <c r="AS40">
        <f>Foglio1!$W$16</f>
        <v>0</v>
      </c>
      <c r="AT40">
        <f>Foglio1!$W$16</f>
        <v>0</v>
      </c>
      <c r="AU40">
        <f>Foglio1!$W$16</f>
        <v>0</v>
      </c>
      <c r="AV40">
        <f>Foglio1!$W$16</f>
        <v>0</v>
      </c>
      <c r="AW40">
        <f>Foglio1!$W$16</f>
        <v>0</v>
      </c>
      <c r="AX40">
        <f>Foglio1!$W$16</f>
        <v>0</v>
      </c>
      <c r="AY40">
        <f>Foglio1!$W$16</f>
        <v>0</v>
      </c>
      <c r="AZ40">
        <f>Foglio1!$W$16</f>
        <v>0</v>
      </c>
      <c r="BA40">
        <f>Foglio1!$W$16</f>
        <v>0</v>
      </c>
      <c r="BB40">
        <f>Foglio1!$W$16</f>
        <v>0</v>
      </c>
      <c r="BC40">
        <f>Foglio1!$W$16</f>
        <v>0</v>
      </c>
      <c r="BD40">
        <f>Foglio1!$W$16</f>
        <v>0</v>
      </c>
      <c r="BE40">
        <f>Foglio1!$W$16</f>
        <v>0</v>
      </c>
      <c r="BF40">
        <f>Foglio1!$W$16</f>
        <v>0</v>
      </c>
      <c r="BG40">
        <f>Foglio1!$W$16</f>
        <v>0</v>
      </c>
      <c r="BH40">
        <f>Foglio1!$W$16</f>
        <v>0</v>
      </c>
      <c r="BI40">
        <f>Foglio1!$W$16</f>
        <v>0</v>
      </c>
      <c r="BJ40">
        <f>Foglio1!$W$16</f>
        <v>0</v>
      </c>
      <c r="BK40">
        <f>Foglio1!$W$16</f>
        <v>0</v>
      </c>
      <c r="BL40">
        <f>Foglio1!$W$16</f>
        <v>0</v>
      </c>
      <c r="BM40">
        <f>Foglio1!$W$16</f>
        <v>0</v>
      </c>
      <c r="BN40">
        <f>Foglio1!$W$16</f>
        <v>0</v>
      </c>
      <c r="BO40">
        <f>Foglio1!$W$16</f>
        <v>0</v>
      </c>
      <c r="BP40">
        <f>Foglio1!$W$16</f>
        <v>0</v>
      </c>
      <c r="BQ40">
        <f>Foglio1!$W$16</f>
        <v>0</v>
      </c>
      <c r="BR40">
        <f>Foglio1!$W$16</f>
        <v>0</v>
      </c>
      <c r="BS40">
        <f>Foglio1!$W$16</f>
        <v>0</v>
      </c>
      <c r="BT40">
        <f>Foglio1!$W$16</f>
        <v>0</v>
      </c>
      <c r="BU40">
        <f>Foglio1!$W$16</f>
        <v>0</v>
      </c>
      <c r="BV40">
        <f>Foglio1!$W$16</f>
        <v>0</v>
      </c>
      <c r="BW40">
        <f>Foglio1!$W$16</f>
        <v>0</v>
      </c>
      <c r="BX40">
        <f>Foglio1!$W$16</f>
        <v>0</v>
      </c>
      <c r="BY40">
        <f>Foglio1!$W$16</f>
        <v>0</v>
      </c>
      <c r="BZ40">
        <f>Foglio1!$W$16</f>
        <v>0</v>
      </c>
      <c r="CA40">
        <f>Foglio1!$W$16</f>
        <v>0</v>
      </c>
      <c r="CB40">
        <f>Foglio1!$W$16</f>
        <v>0</v>
      </c>
      <c r="CC40">
        <f>Foglio1!$W$16</f>
        <v>0</v>
      </c>
      <c r="CD40">
        <f>Foglio1!$W$16</f>
        <v>0</v>
      </c>
      <c r="CE40">
        <f>Foglio1!$W$16</f>
        <v>0</v>
      </c>
      <c r="CF40">
        <f>Foglio1!$W$16</f>
        <v>0</v>
      </c>
    </row>
    <row r="41" spans="1:84" x14ac:dyDescent="0.25">
      <c r="AH41" t="s">
        <v>74</v>
      </c>
      <c r="AI41">
        <f>Foglio1!$W$17</f>
        <v>0</v>
      </c>
      <c r="AJ41">
        <f>Foglio1!$W$17</f>
        <v>0</v>
      </c>
      <c r="AK41">
        <f>Foglio1!$W$17</f>
        <v>0</v>
      </c>
      <c r="AL41">
        <f>Foglio1!$W$17</f>
        <v>0</v>
      </c>
      <c r="AM41">
        <f>Foglio1!$W$17</f>
        <v>0</v>
      </c>
      <c r="AN41">
        <f>Foglio1!$W$17</f>
        <v>0</v>
      </c>
      <c r="AO41">
        <f>Foglio1!$W$17</f>
        <v>0</v>
      </c>
      <c r="AP41">
        <f>Foglio1!$W$17</f>
        <v>0</v>
      </c>
      <c r="AQ41">
        <f>Foglio1!$W$17</f>
        <v>0</v>
      </c>
      <c r="AR41">
        <f>Foglio1!$W$17</f>
        <v>0</v>
      </c>
      <c r="AS41">
        <f>Foglio1!$W$17</f>
        <v>0</v>
      </c>
      <c r="AT41">
        <f>Foglio1!$W$17</f>
        <v>0</v>
      </c>
      <c r="AU41">
        <f>Foglio1!$W$17</f>
        <v>0</v>
      </c>
      <c r="AV41">
        <f>Foglio1!$W$17</f>
        <v>0</v>
      </c>
      <c r="AW41">
        <f>Foglio1!$W$17</f>
        <v>0</v>
      </c>
      <c r="AX41">
        <f>Foglio1!$W$17</f>
        <v>0</v>
      </c>
      <c r="AY41">
        <f>Foglio1!$W$17</f>
        <v>0</v>
      </c>
      <c r="AZ41">
        <f>Foglio1!$W$17</f>
        <v>0</v>
      </c>
      <c r="BA41">
        <f>Foglio1!$W$17</f>
        <v>0</v>
      </c>
      <c r="BB41">
        <f>Foglio1!$W$17</f>
        <v>0</v>
      </c>
      <c r="BC41">
        <f>Foglio1!$W$17</f>
        <v>0</v>
      </c>
      <c r="BD41">
        <f>Foglio1!$W$17</f>
        <v>0</v>
      </c>
      <c r="BE41">
        <f>Foglio1!$W$17</f>
        <v>0</v>
      </c>
      <c r="BF41">
        <f>Foglio1!$W$17</f>
        <v>0</v>
      </c>
      <c r="BG41">
        <f>Foglio1!$W$17</f>
        <v>0</v>
      </c>
      <c r="BH41">
        <f>Foglio1!$W$17</f>
        <v>0</v>
      </c>
      <c r="BI41">
        <f>Foglio1!$W$17</f>
        <v>0</v>
      </c>
      <c r="BJ41">
        <f>Foglio1!$W$17</f>
        <v>0</v>
      </c>
      <c r="BK41">
        <f>Foglio1!$W$17</f>
        <v>0</v>
      </c>
      <c r="BL41">
        <f>Foglio1!$W$17</f>
        <v>0</v>
      </c>
      <c r="BM41">
        <f>Foglio1!$W$17</f>
        <v>0</v>
      </c>
      <c r="BN41">
        <f>Foglio1!$W$17</f>
        <v>0</v>
      </c>
      <c r="BO41">
        <f>Foglio1!$W$17</f>
        <v>0</v>
      </c>
      <c r="BP41">
        <f>Foglio1!$W$17</f>
        <v>0</v>
      </c>
      <c r="BQ41">
        <f>Foglio1!$W$17</f>
        <v>0</v>
      </c>
      <c r="BR41">
        <f>Foglio1!$W$17</f>
        <v>0</v>
      </c>
      <c r="BS41">
        <f>Foglio1!$W$17</f>
        <v>0</v>
      </c>
      <c r="BT41">
        <f>Foglio1!$W$17</f>
        <v>0</v>
      </c>
      <c r="BU41">
        <f>Foglio1!$W$17</f>
        <v>0</v>
      </c>
      <c r="BV41">
        <f>Foglio1!$W$17</f>
        <v>0</v>
      </c>
      <c r="BW41">
        <f>Foglio1!$W$17</f>
        <v>0</v>
      </c>
      <c r="BX41">
        <f>Foglio1!$W$17</f>
        <v>0</v>
      </c>
      <c r="BY41">
        <f>Foglio1!$W$17</f>
        <v>0</v>
      </c>
      <c r="BZ41">
        <f>Foglio1!$W$17</f>
        <v>0</v>
      </c>
      <c r="CA41">
        <f>Foglio1!$W$17</f>
        <v>0</v>
      </c>
      <c r="CB41">
        <f>Foglio1!$W$17</f>
        <v>0</v>
      </c>
      <c r="CC41">
        <f>Foglio1!$W$17</f>
        <v>0</v>
      </c>
      <c r="CD41">
        <f>Foglio1!$W$17</f>
        <v>0</v>
      </c>
      <c r="CE41">
        <f>Foglio1!$W$17</f>
        <v>0</v>
      </c>
      <c r="CF41">
        <f>Foglio1!$W$17</f>
        <v>0</v>
      </c>
    </row>
    <row r="42" spans="1:84" x14ac:dyDescent="0.25">
      <c r="AH42" t="s">
        <v>73</v>
      </c>
      <c r="AI42">
        <f>Foglio1!$W$18</f>
        <v>0</v>
      </c>
      <c r="AJ42">
        <f>Foglio1!$W$18</f>
        <v>0</v>
      </c>
      <c r="AK42">
        <f>Foglio1!$W$18</f>
        <v>0</v>
      </c>
      <c r="AL42">
        <f>Foglio1!$W$18</f>
        <v>0</v>
      </c>
      <c r="AM42">
        <f>Foglio1!$W$18</f>
        <v>0</v>
      </c>
      <c r="AN42">
        <f>Foglio1!$W$18</f>
        <v>0</v>
      </c>
      <c r="AO42">
        <f>Foglio1!$W$18</f>
        <v>0</v>
      </c>
      <c r="AP42">
        <f>Foglio1!$W$18</f>
        <v>0</v>
      </c>
      <c r="AQ42">
        <f>Foglio1!$W$18</f>
        <v>0</v>
      </c>
      <c r="AR42">
        <f>Foglio1!$W$18</f>
        <v>0</v>
      </c>
      <c r="AS42">
        <f>Foglio1!$W$18</f>
        <v>0</v>
      </c>
      <c r="AT42">
        <f>Foglio1!$W$18</f>
        <v>0</v>
      </c>
      <c r="AU42">
        <f>Foglio1!$W$18</f>
        <v>0</v>
      </c>
      <c r="AV42">
        <f>Foglio1!$W$18</f>
        <v>0</v>
      </c>
      <c r="AW42">
        <f>Foglio1!$W$18</f>
        <v>0</v>
      </c>
      <c r="AX42">
        <f>Foglio1!$W$18</f>
        <v>0</v>
      </c>
      <c r="AY42">
        <f>Foglio1!$W$18</f>
        <v>0</v>
      </c>
      <c r="AZ42">
        <f>Foglio1!$W$18</f>
        <v>0</v>
      </c>
      <c r="BA42">
        <f>Foglio1!$W$18</f>
        <v>0</v>
      </c>
      <c r="BB42">
        <f>Foglio1!$W$18</f>
        <v>0</v>
      </c>
      <c r="BC42">
        <f>Foglio1!$W$18</f>
        <v>0</v>
      </c>
      <c r="BD42">
        <f>Foglio1!$W$18</f>
        <v>0</v>
      </c>
      <c r="BE42">
        <f>Foglio1!$W$18</f>
        <v>0</v>
      </c>
      <c r="BF42">
        <f>Foglio1!$W$18</f>
        <v>0</v>
      </c>
      <c r="BG42">
        <f>Foglio1!$W$18</f>
        <v>0</v>
      </c>
      <c r="BH42">
        <f>Foglio1!$W$18</f>
        <v>0</v>
      </c>
      <c r="BI42">
        <f>Foglio1!$W$18</f>
        <v>0</v>
      </c>
      <c r="BJ42">
        <f>Foglio1!$W$18</f>
        <v>0</v>
      </c>
      <c r="BK42">
        <f>Foglio1!$W$18</f>
        <v>0</v>
      </c>
      <c r="BL42">
        <f>Foglio1!$W$18</f>
        <v>0</v>
      </c>
      <c r="BM42">
        <f>Foglio1!$W$18</f>
        <v>0</v>
      </c>
      <c r="BN42">
        <f>Foglio1!$W$18</f>
        <v>0</v>
      </c>
      <c r="BO42">
        <f>Foglio1!$W$18</f>
        <v>0</v>
      </c>
      <c r="BP42">
        <f>Foglio1!$W$18</f>
        <v>0</v>
      </c>
      <c r="BQ42">
        <f>Foglio1!$W$18</f>
        <v>0</v>
      </c>
      <c r="BR42">
        <f>Foglio1!$W$18</f>
        <v>0</v>
      </c>
      <c r="BS42">
        <f>Foglio1!$W$18</f>
        <v>0</v>
      </c>
      <c r="BT42">
        <f>Foglio1!$W$18</f>
        <v>0</v>
      </c>
      <c r="BU42">
        <f>Foglio1!$W$18</f>
        <v>0</v>
      </c>
      <c r="BV42">
        <f>Foglio1!$W$18</f>
        <v>0</v>
      </c>
      <c r="BW42">
        <f>Foglio1!$W$18</f>
        <v>0</v>
      </c>
      <c r="BX42">
        <f>Foglio1!$W$18</f>
        <v>0</v>
      </c>
      <c r="BY42">
        <f>Foglio1!$W$18</f>
        <v>0</v>
      </c>
      <c r="BZ42">
        <f>Foglio1!$W$18</f>
        <v>0</v>
      </c>
      <c r="CA42">
        <f>Foglio1!$W$18</f>
        <v>0</v>
      </c>
      <c r="CB42">
        <f>Foglio1!$W$18</f>
        <v>0</v>
      </c>
      <c r="CC42">
        <f>Foglio1!$W$18</f>
        <v>0</v>
      </c>
      <c r="CD42">
        <f>Foglio1!$W$18</f>
        <v>0</v>
      </c>
      <c r="CE42">
        <f>Foglio1!$W$18</f>
        <v>0</v>
      </c>
      <c r="CF42">
        <f>Foglio1!$W$18</f>
        <v>0</v>
      </c>
    </row>
    <row r="43" spans="1:84" x14ac:dyDescent="0.25">
      <c r="AH43" t="s">
        <v>75</v>
      </c>
      <c r="AI43">
        <f>Foglio1!$W$19</f>
        <v>0</v>
      </c>
      <c r="AJ43">
        <f>Foglio1!$W$19</f>
        <v>0</v>
      </c>
      <c r="AK43">
        <f>Foglio1!$W$19</f>
        <v>0</v>
      </c>
      <c r="AL43">
        <f>Foglio1!$W$19</f>
        <v>0</v>
      </c>
      <c r="AM43">
        <f>Foglio1!$W$19</f>
        <v>0</v>
      </c>
      <c r="AN43">
        <f>Foglio1!$W$19</f>
        <v>0</v>
      </c>
      <c r="AO43">
        <f>Foglio1!$W$19</f>
        <v>0</v>
      </c>
      <c r="AP43">
        <f>Foglio1!$W$19</f>
        <v>0</v>
      </c>
      <c r="AQ43">
        <f>Foglio1!$W$19</f>
        <v>0</v>
      </c>
      <c r="AR43">
        <f>Foglio1!$W$19</f>
        <v>0</v>
      </c>
      <c r="AS43">
        <f>Foglio1!$W$19</f>
        <v>0</v>
      </c>
      <c r="AT43">
        <f>Foglio1!$W$19</f>
        <v>0</v>
      </c>
      <c r="AU43">
        <f>Foglio1!$W$19</f>
        <v>0</v>
      </c>
      <c r="AV43">
        <f>Foglio1!$W$19</f>
        <v>0</v>
      </c>
      <c r="AW43">
        <f>Foglio1!$W$19</f>
        <v>0</v>
      </c>
      <c r="AX43">
        <f>Foglio1!$W$19</f>
        <v>0</v>
      </c>
      <c r="AY43">
        <f>Foglio1!$W$19</f>
        <v>0</v>
      </c>
      <c r="AZ43">
        <f>Foglio1!$W$19</f>
        <v>0</v>
      </c>
      <c r="BA43">
        <f>Foglio1!$W$19</f>
        <v>0</v>
      </c>
      <c r="BB43">
        <f>Foglio1!$W$19</f>
        <v>0</v>
      </c>
      <c r="BC43">
        <f>Foglio1!$W$19</f>
        <v>0</v>
      </c>
      <c r="BD43">
        <f>Foglio1!$W$19</f>
        <v>0</v>
      </c>
      <c r="BE43">
        <f>Foglio1!$W$19</f>
        <v>0</v>
      </c>
      <c r="BF43">
        <f>Foglio1!$W$19</f>
        <v>0</v>
      </c>
      <c r="BG43">
        <f>Foglio1!$W$19</f>
        <v>0</v>
      </c>
      <c r="BH43">
        <f>Foglio1!$W$19</f>
        <v>0</v>
      </c>
      <c r="BI43">
        <f>Foglio1!$W$19</f>
        <v>0</v>
      </c>
      <c r="BJ43">
        <f>Foglio1!$W$19</f>
        <v>0</v>
      </c>
      <c r="BK43">
        <f>Foglio1!$W$19</f>
        <v>0</v>
      </c>
      <c r="BL43">
        <f>Foglio1!$W$19</f>
        <v>0</v>
      </c>
      <c r="BM43">
        <f>Foglio1!$W$19</f>
        <v>0</v>
      </c>
      <c r="BN43">
        <f>Foglio1!$W$19</f>
        <v>0</v>
      </c>
      <c r="BO43">
        <f>Foglio1!$W$19</f>
        <v>0</v>
      </c>
      <c r="BP43">
        <f>Foglio1!$W$19</f>
        <v>0</v>
      </c>
      <c r="BQ43">
        <f>Foglio1!$W$19</f>
        <v>0</v>
      </c>
      <c r="BR43">
        <f>Foglio1!$W$19</f>
        <v>0</v>
      </c>
      <c r="BS43">
        <f>Foglio1!$W$19</f>
        <v>0</v>
      </c>
      <c r="BT43">
        <f>Foglio1!$W$19</f>
        <v>0</v>
      </c>
      <c r="BU43">
        <f>Foglio1!$W$19</f>
        <v>0</v>
      </c>
      <c r="BV43">
        <f>Foglio1!$W$19</f>
        <v>0</v>
      </c>
      <c r="BW43">
        <f>Foglio1!$W$19</f>
        <v>0</v>
      </c>
      <c r="BX43">
        <f>Foglio1!$W$19</f>
        <v>0</v>
      </c>
      <c r="BY43">
        <f>Foglio1!$W$19</f>
        <v>0</v>
      </c>
      <c r="BZ43">
        <f>Foglio1!$W$19</f>
        <v>0</v>
      </c>
      <c r="CA43">
        <f>Foglio1!$W$19</f>
        <v>0</v>
      </c>
      <c r="CB43">
        <f>Foglio1!$W$19</f>
        <v>0</v>
      </c>
      <c r="CC43">
        <f>Foglio1!$W$19</f>
        <v>0</v>
      </c>
      <c r="CD43">
        <f>Foglio1!$W$19</f>
        <v>0</v>
      </c>
      <c r="CE43">
        <f>Foglio1!$W$19</f>
        <v>0</v>
      </c>
      <c r="CF43">
        <f>Foglio1!$W$19</f>
        <v>0</v>
      </c>
    </row>
    <row r="44" spans="1:84" x14ac:dyDescent="0.25">
      <c r="AH44" t="s">
        <v>56</v>
      </c>
      <c r="AI44">
        <f>AI34*Foglio1!$D$5/(EXP(Foglio1!$C10-Foglio1!$D10/(Foglio1!$E10+Foglio2!AI$33)))</f>
        <v>2.1985014779711629E-2</v>
      </c>
      <c r="AJ44">
        <f>AJ34*Foglio1!$D$5/(EXP(Foglio1!$C10-Foglio1!$D10/(Foglio1!$E10+Foglio2!AJ$33)))</f>
        <v>5.8456007439217528E-2</v>
      </c>
      <c r="AK44">
        <f>AK34*Foglio1!$D$5/(EXP(Foglio1!$C10-Foglio1!$D10/(Foglio1!$E10+Foglio2!AK$33)))</f>
        <v>3.4356934439515131E-2</v>
      </c>
      <c r="AL44">
        <f>AL34*Foglio1!$D$5/(EXP(Foglio1!$C10-Foglio1!$D10/(Foglio1!$E10+Foglio2!AL$33)))</f>
        <v>4.4276829432005185E-2</v>
      </c>
      <c r="AM44">
        <f>AM34*Foglio1!$D$5/(EXP(Foglio1!$C10-Foglio1!$D10/(Foglio1!$E10+Foglio2!AM$33)))</f>
        <v>5.0710750546896506E-2</v>
      </c>
      <c r="AN44">
        <f>AN34*Foglio1!$D$5/(EXP(Foglio1!$C10-Foglio1!$D10/(Foglio1!$E10+Foglio2!AN$33)))</f>
        <v>4.7347785322220899E-2</v>
      </c>
      <c r="AO44">
        <f>AO34*Foglio1!$D$5/(EXP(Foglio1!$C10-Foglio1!$D10/(Foglio1!$E10+Foglio2!AO$33)))</f>
        <v>4.8990710127620185E-2</v>
      </c>
      <c r="AP44">
        <f>AP34*Foglio1!$D$5/(EXP(Foglio1!$C10-Foglio1!$D10/(Foglio1!$E10+Foglio2!AP$33)))</f>
        <v>4.8159875828629808E-2</v>
      </c>
      <c r="AQ44">
        <f>AQ34*Foglio1!$D$5/(EXP(Foglio1!$C10-Foglio1!$D10/(Foglio1!$E10+Foglio2!AQ$33)))</f>
        <v>4.7751520098698819E-2</v>
      </c>
      <c r="AR44">
        <f>AR34*Foglio1!$D$5/(EXP(Foglio1!$C10-Foglio1!$D10/(Foglio1!$E10+Foglio2!AR$33)))</f>
        <v>4.7549079095887931E-2</v>
      </c>
      <c r="AS44">
        <f>AS34*Foglio1!$D$5/(EXP(Foglio1!$C10-Foglio1!$D10/(Foglio1!$E10+Foglio2!AS$33)))</f>
        <v>4.7650155695612983E-2</v>
      </c>
      <c r="AT44">
        <f>AT34*Foglio1!$D$5/(EXP(Foglio1!$C10-Foglio1!$D10/(Foglio1!$E10+Foglio2!AT$33)))</f>
        <v>4.7700801859259921E-2</v>
      </c>
      <c r="AU44">
        <f>AU34*Foglio1!$D$5/(EXP(Foglio1!$C10-Foglio1!$D10/(Foglio1!$E10+Foglio2!AU$33)))</f>
        <v>4.7675469775781874E-2</v>
      </c>
      <c r="AV44">
        <f>AV34*Foglio1!$D$5/(EXP(Foglio1!$C10-Foglio1!$D10/(Foglio1!$E10+Foglio2!AV$33)))</f>
        <v>4.7662810486260254E-2</v>
      </c>
      <c r="AW44">
        <f>AW34*Foglio1!$D$5/(EXP(Foglio1!$C10-Foglio1!$D10/(Foglio1!$E10+Foglio2!AW$33)))</f>
        <v>4.7656482528699341E-2</v>
      </c>
      <c r="AX44">
        <f>AX34*Foglio1!$D$5/(EXP(Foglio1!$C10-Foglio1!$D10/(Foglio1!$E10+Foglio2!AX$33)))</f>
        <v>4.7659646366905228E-2</v>
      </c>
      <c r="AY44">
        <f>AY34*Foglio1!$D$5/(EXP(Foglio1!$C10-Foglio1!$D10/(Foglio1!$E10+Foglio2!AY$33)))</f>
        <v>4.7661228391437202E-2</v>
      </c>
      <c r="AZ44">
        <f>AZ34*Foglio1!$D$5/(EXP(Foglio1!$C10-Foglio1!$D10/(Foglio1!$E10+Foglio2!AZ$33)))</f>
        <v>4.7662019430062069E-2</v>
      </c>
      <c r="BA44">
        <f>BA34*Foglio1!$D$5/(EXP(Foglio1!$C10-Foglio1!$D10/(Foglio1!$E10+Foglio2!BA$33)))</f>
        <v>4.7661623908553004E-2</v>
      </c>
      <c r="BB44">
        <f>BB34*Foglio1!$D$5/(EXP(Foglio1!$C10-Foglio1!$D10/(Foglio1!$E10+Foglio2!BB$33)))</f>
        <v>4.7661426149445942E-2</v>
      </c>
      <c r="BC44">
        <f>BC34*Foglio1!$D$5/(EXP(Foglio1!$C10-Foglio1!$D10/(Foglio1!$E10+Foglio2!BC$33)))</f>
        <v>4.7661525028862194E-2</v>
      </c>
      <c r="BD44">
        <f>BD34*Foglio1!$D$5/(EXP(Foglio1!$C10-Foglio1!$D10/(Foglio1!$E10+Foglio2!BD$33)))</f>
        <v>4.7661574468673321E-2</v>
      </c>
      <c r="BE44">
        <f>BE34*Foglio1!$D$5/(EXP(Foglio1!$C10-Foglio1!$D10/(Foglio1!$E10+Foglio2!BE$33)))</f>
        <v>4.7661549748759142E-2</v>
      </c>
      <c r="BF44">
        <f>BF34*Foglio1!$D$5/(EXP(Foglio1!$C10-Foglio1!$D10/(Foglio1!$E10+Foglio2!BF$33)))</f>
        <v>4.7661537388808593E-2</v>
      </c>
      <c r="BG44">
        <f>BG34*Foglio1!$D$5/(EXP(Foglio1!$C10-Foglio1!$D10/(Foglio1!$E10+Foglio2!BG$33)))</f>
        <v>4.7661543568783347E-2</v>
      </c>
      <c r="BH44">
        <f>BH34*Foglio1!$D$5/(EXP(Foglio1!$C10-Foglio1!$D10/(Foglio1!$E10+Foglio2!BH$33)))</f>
        <v>4.7661546658771106E-2</v>
      </c>
      <c r="BI44">
        <f>BI34*Foglio1!$D$5/(EXP(Foglio1!$C10-Foglio1!$D10/(Foglio1!$E10+Foglio2!BI$33)))</f>
        <v>4.7661548203765135E-2</v>
      </c>
      <c r="BJ44">
        <f>BJ34*Foglio1!$D$5/(EXP(Foglio1!$C10-Foglio1!$D10/(Foglio1!$E10+Foglio2!BJ$33)))</f>
        <v>4.766154743126811E-2</v>
      </c>
      <c r="BK44">
        <f>BK34*Foglio1!$D$5/(EXP(Foglio1!$C10-Foglio1!$D10/(Foglio1!$E10+Foglio2!BK$33)))</f>
        <v>4.7661547045019646E-2</v>
      </c>
      <c r="BL44">
        <f>BL34*Foglio1!$D$5/(EXP(Foglio1!$C10-Foglio1!$D10/(Foglio1!$E10+Foglio2!BL$33)))</f>
        <v>4.7661546851895414E-2</v>
      </c>
      <c r="BM44">
        <f>BM34*Foglio1!$D$5/(EXP(Foglio1!$C10-Foglio1!$D10/(Foglio1!$E10+Foglio2!BM$33)))</f>
        <v>4.7661546755333253E-2</v>
      </c>
      <c r="BN44">
        <f>BN34*Foglio1!$D$5/(EXP(Foglio1!$C10-Foglio1!$D10/(Foglio1!$E10+Foglio2!BN$33)))</f>
        <v>4.7661546707052214E-2</v>
      </c>
      <c r="BO44">
        <f>BO34*Foglio1!$D$5/(EXP(Foglio1!$C10-Foglio1!$D10/(Foglio1!$E10+Foglio2!BO$33)))</f>
        <v>4.7661546731192696E-2</v>
      </c>
      <c r="BP44">
        <f>BP34*Foglio1!$D$5/(EXP(Foglio1!$C10-Foglio1!$D10/(Foglio1!$E10+Foglio2!BP$33)))</f>
        <v>4.766154671912242E-2</v>
      </c>
      <c r="BQ44">
        <f>BQ34*Foglio1!$D$5/(EXP(Foglio1!$C10-Foglio1!$D10/(Foglio1!$E10+Foglio2!BQ$33)))</f>
        <v>4.76615467251576E-2</v>
      </c>
      <c r="BR44">
        <f>BR34*Foglio1!$D$5/(EXP(Foglio1!$C10-Foglio1!$D10/(Foglio1!$E10+Foglio2!BR$33)))</f>
        <v>4.7661546728175193E-2</v>
      </c>
      <c r="BS44">
        <f>BS34*Foglio1!$D$5/(EXP(Foglio1!$C10-Foglio1!$D10/(Foglio1!$E10+Foglio2!BS$33)))</f>
        <v>4.7661546729683903E-2</v>
      </c>
      <c r="BT44">
        <f>BT34*Foglio1!$D$5/(EXP(Foglio1!$C10-Foglio1!$D10/(Foglio1!$E10+Foglio2!BT$33)))</f>
        <v>4.7661546730438251E-2</v>
      </c>
      <c r="BU44">
        <f>BU34*Foglio1!$D$5/(EXP(Foglio1!$C10-Foglio1!$D10/(Foglio1!$E10+Foglio2!BU$33)))</f>
        <v>4.7661546730815525E-2</v>
      </c>
      <c r="BV44">
        <f>BV34*Foglio1!$D$5/(EXP(Foglio1!$C10-Foglio1!$D10/(Foglio1!$E10+Foglio2!BV$33)))</f>
        <v>4.7661546731004152E-2</v>
      </c>
      <c r="BW44">
        <f>BW34*Foglio1!$D$5/(EXP(Foglio1!$C10-Foglio1!$D10/(Foglio1!$E10+Foglio2!BW$33)))</f>
        <v>4.7661546731098466E-2</v>
      </c>
      <c r="BX44">
        <f>BX34*Foglio1!$D$5/(EXP(Foglio1!$C10-Foglio1!$D10/(Foglio1!$E10+Foglio2!BX$33)))</f>
        <v>4.7661546731051309E-2</v>
      </c>
      <c r="BY44">
        <f>BY34*Foglio1!$D$5/(EXP(Foglio1!$C10-Foglio1!$D10/(Foglio1!$E10+Foglio2!BY$33)))</f>
        <v>4.7661546731074846E-2</v>
      </c>
      <c r="BZ44">
        <f>BZ34*Foglio1!$D$5/(EXP(Foglio1!$C10-Foglio1!$D10/(Foglio1!$E10+Foglio2!BZ$33)))</f>
        <v>4.7661546731063084E-2</v>
      </c>
      <c r="CA44">
        <f>CA34*Foglio1!$D$5/(EXP(Foglio1!$C10-Foglio1!$D10/(Foglio1!$E10+Foglio2!CA$33)))</f>
        <v>4.7661546731057151E-2</v>
      </c>
      <c r="CB44">
        <f>CB34*Foglio1!$D$5/(EXP(Foglio1!$C10-Foglio1!$D10/(Foglio1!$E10+Foglio2!CB$33)))</f>
        <v>4.7661546731060031E-2</v>
      </c>
      <c r="CC44">
        <f>CC34*Foglio1!$D$5/(EXP(Foglio1!$C10-Foglio1!$D10/(Foglio1!$E10+Foglio2!CC$33)))</f>
        <v>4.7661546731061551E-2</v>
      </c>
      <c r="CD44">
        <f>CD34*Foglio1!$D$5/(EXP(Foglio1!$C10-Foglio1!$D10/(Foglio1!$E10+Foglio2!CD$33)))</f>
        <v>4.7661546731060871E-2</v>
      </c>
      <c r="CE44">
        <f>CE34*Foglio1!$D$5/(EXP(Foglio1!$C10-Foglio1!$D10/(Foglio1!$E10+Foglio2!CE$33)))</f>
        <v>4.7661546731060538E-2</v>
      </c>
      <c r="CF44">
        <f>CF34*Foglio1!$D$5/(EXP(Foglio1!$C10-Foglio1!$D10/(Foglio1!$E10+Foglio2!CF$33)))</f>
        <v>4.7661546731060711E-2</v>
      </c>
    </row>
    <row r="45" spans="1:84" x14ac:dyDescent="0.25">
      <c r="AH45" t="s">
        <v>57</v>
      </c>
      <c r="AI45">
        <f>AI35*Foglio1!$D$5/(EXP(Foglio1!$C11-Foglio1!$D11/(Foglio1!$E11+Foglio2!AI$33)))</f>
        <v>0.10622041090620252</v>
      </c>
      <c r="AJ45">
        <f>AJ35*Foglio1!$D$5/(EXP(Foglio1!$C11-Foglio1!$D11/(Foglio1!$E11+Foglio2!AJ$33)))</f>
        <v>0.32375325916559211</v>
      </c>
      <c r="AK45">
        <f>AK35*Foglio1!$D$5/(EXP(Foglio1!$C11-Foglio1!$D11/(Foglio1!$E11+Foglio2!AK$33)))</f>
        <v>0.17646395325729605</v>
      </c>
      <c r="AL45">
        <f>AL35*Foglio1!$D$5/(EXP(Foglio1!$C11-Foglio1!$D11/(Foglio1!$E11+Foglio2!AL$33)))</f>
        <v>0.23566375516300103</v>
      </c>
      <c r="AM45">
        <f>AM35*Foglio1!$D$5/(EXP(Foglio1!$C11-Foglio1!$D11/(Foglio1!$E11+Foglio2!AM$33)))</f>
        <v>0.27517436840294818</v>
      </c>
      <c r="AN45">
        <f>AN35*Foglio1!$D$5/(EXP(Foglio1!$C11-Foglio1!$D11/(Foglio1!$E11+Foglio2!AN$33)))</f>
        <v>0.25442135601644927</v>
      </c>
      <c r="AO45">
        <f>AO35*Foglio1!$D$5/(EXP(Foglio1!$C11-Foglio1!$D11/(Foglio1!$E11+Foglio2!AO$33)))</f>
        <v>0.2645329652065383</v>
      </c>
      <c r="AP45">
        <f>AP35*Foglio1!$D$5/(EXP(Foglio1!$C11-Foglio1!$D11/(Foglio1!$E11+Foglio2!AP$33)))</f>
        <v>0.2594129561504121</v>
      </c>
      <c r="AQ45">
        <f>AQ35*Foglio1!$D$5/(EXP(Foglio1!$C11-Foglio1!$D11/(Foglio1!$E11+Foglio2!AQ$33)))</f>
        <v>0.25690134964822275</v>
      </c>
      <c r="AR45">
        <f>AR35*Foglio1!$D$5/(EXP(Foglio1!$C11-Foglio1!$D11/(Foglio1!$E11+Foglio2!AR$33)))</f>
        <v>0.25565743133601571</v>
      </c>
      <c r="AS45">
        <f>AS35*Foglio1!$D$5/(EXP(Foglio1!$C11-Foglio1!$D11/(Foglio1!$E11+Foglio2!AS$33)))</f>
        <v>0.25627840637479932</v>
      </c>
      <c r="AT45">
        <f>AT35*Foglio1!$D$5/(EXP(Foglio1!$C11-Foglio1!$D11/(Foglio1!$E11+Foglio2!AT$33)))</f>
        <v>0.25658963151246322</v>
      </c>
      <c r="AU45">
        <f>AU35*Foglio1!$D$5/(EXP(Foglio1!$C11-Foglio1!$D11/(Foglio1!$E11+Foglio2!AU$33)))</f>
        <v>0.25643395737766556</v>
      </c>
      <c r="AV45">
        <f>AV35*Foglio1!$D$5/(EXP(Foglio1!$C11-Foglio1!$D11/(Foglio1!$E11+Foglio2!AV$33)))</f>
        <v>0.25635616649208331</v>
      </c>
      <c r="AW45">
        <f>AW35*Foglio1!$D$5/(EXP(Foglio1!$C11-Foglio1!$D11/(Foglio1!$E11+Foglio2!AW$33)))</f>
        <v>0.25631728258832154</v>
      </c>
      <c r="AX45">
        <f>AX35*Foglio1!$D$5/(EXP(Foglio1!$C11-Foglio1!$D11/(Foglio1!$E11+Foglio2!AX$33)))</f>
        <v>0.25633672357880799</v>
      </c>
      <c r="AY45">
        <f>AY35*Foglio1!$D$5/(EXP(Foglio1!$C11-Foglio1!$D11/(Foglio1!$E11+Foglio2!AY$33)))</f>
        <v>0.25634644479508273</v>
      </c>
      <c r="AZ45">
        <f>AZ35*Foglio1!$D$5/(EXP(Foglio1!$C11-Foglio1!$D11/(Foglio1!$E11+Foglio2!AZ$33)))</f>
        <v>0.25635130558349045</v>
      </c>
      <c r="BA45">
        <f>BA35*Foglio1!$D$5/(EXP(Foglio1!$C11-Foglio1!$D11/(Foglio1!$E11+Foglio2!BA$33)))</f>
        <v>0.2563488751742633</v>
      </c>
      <c r="BB45">
        <f>BB35*Foglio1!$D$5/(EXP(Foglio1!$C11-Foglio1!$D11/(Foglio1!$E11+Foglio2!BB$33)))</f>
        <v>0.25634765998091708</v>
      </c>
      <c r="BC45">
        <f>BC35*Foglio1!$D$5/(EXP(Foglio1!$C11-Foglio1!$D11/(Foglio1!$E11+Foglio2!BC$33)))</f>
        <v>0.25634826757665152</v>
      </c>
      <c r="BD45">
        <f>BD35*Foglio1!$D$5/(EXP(Foglio1!$C11-Foglio1!$D11/(Foglio1!$E11+Foglio2!BD$33)))</f>
        <v>0.25634857137522277</v>
      </c>
      <c r="BE45">
        <f>BE35*Foglio1!$D$5/(EXP(Foglio1!$C11-Foglio1!$D11/(Foglio1!$E11+Foglio2!BE$33)))</f>
        <v>0.2563484194758785</v>
      </c>
      <c r="BF45">
        <f>BF35*Foglio1!$D$5/(EXP(Foglio1!$C11-Foglio1!$D11/(Foglio1!$E11+Foglio2!BF$33)))</f>
        <v>0.25634834352625058</v>
      </c>
      <c r="BG45">
        <f>BG35*Foglio1!$D$5/(EXP(Foglio1!$C11-Foglio1!$D11/(Foglio1!$E11+Foglio2!BG$33)))</f>
        <v>0.25634838150106082</v>
      </c>
      <c r="BH45">
        <f>BH35*Foglio1!$D$5/(EXP(Foglio1!$C11-Foglio1!$D11/(Foglio1!$E11+Foglio2!BH$33)))</f>
        <v>0.25634840048846874</v>
      </c>
      <c r="BI45">
        <f>BI35*Foglio1!$D$5/(EXP(Foglio1!$C11-Foglio1!$D11/(Foglio1!$E11+Foglio2!BI$33)))</f>
        <v>0.25634840998217318</v>
      </c>
      <c r="BJ45">
        <f>BJ35*Foglio1!$D$5/(EXP(Foglio1!$C11-Foglio1!$D11/(Foglio1!$E11+Foglio2!BJ$33)))</f>
        <v>0.25634840523532071</v>
      </c>
      <c r="BK45">
        <f>BK35*Foglio1!$D$5/(EXP(Foglio1!$C11-Foglio1!$D11/(Foglio1!$E11+Foglio2!BK$33)))</f>
        <v>0.25634840286189492</v>
      </c>
      <c r="BL45">
        <f>BL35*Foglio1!$D$5/(EXP(Foglio1!$C11-Foglio1!$D11/(Foglio1!$E11+Foglio2!BL$33)))</f>
        <v>0.2563484016751818</v>
      </c>
      <c r="BM45">
        <f>BM35*Foglio1!$D$5/(EXP(Foglio1!$C11-Foglio1!$D11/(Foglio1!$E11+Foglio2!BM$33)))</f>
        <v>0.25634840108182505</v>
      </c>
      <c r="BN45">
        <f>BN35*Foglio1!$D$5/(EXP(Foglio1!$C11-Foglio1!$D11/(Foglio1!$E11+Foglio2!BN$33)))</f>
        <v>0.2563484007851467</v>
      </c>
      <c r="BO45">
        <f>BO35*Foglio1!$D$5/(EXP(Foglio1!$C11-Foglio1!$D11/(Foglio1!$E11+Foglio2!BO$33)))</f>
        <v>0.25634840093348588</v>
      </c>
      <c r="BP45">
        <f>BP35*Foglio1!$D$5/(EXP(Foglio1!$C11-Foglio1!$D11/(Foglio1!$E11+Foglio2!BP$33)))</f>
        <v>0.25634840085931671</v>
      </c>
      <c r="BQ45">
        <f>BQ35*Foglio1!$D$5/(EXP(Foglio1!$C11-Foglio1!$D11/(Foglio1!$E11+Foglio2!BQ$33)))</f>
        <v>0.25634840089640171</v>
      </c>
      <c r="BR45">
        <f>BR35*Foglio1!$D$5/(EXP(Foglio1!$C11-Foglio1!$D11/(Foglio1!$E11+Foglio2!BR$33)))</f>
        <v>0.25634840091494382</v>
      </c>
      <c r="BS45">
        <f>BS35*Foglio1!$D$5/(EXP(Foglio1!$C11-Foglio1!$D11/(Foglio1!$E11+Foglio2!BS$33)))</f>
        <v>0.25634840092421463</v>
      </c>
      <c r="BT45">
        <f>BT35*Foglio1!$D$5/(EXP(Foglio1!$C11-Foglio1!$D11/(Foglio1!$E11+Foglio2!BT$33)))</f>
        <v>0.25634840092885025</v>
      </c>
      <c r="BU45">
        <f>BU35*Foglio1!$D$5/(EXP(Foglio1!$C11-Foglio1!$D11/(Foglio1!$E11+Foglio2!BU$33)))</f>
        <v>0.25634840093116806</v>
      </c>
      <c r="BV45">
        <f>BV35*Foglio1!$D$5/(EXP(Foglio1!$C11-Foglio1!$D11/(Foglio1!$E11+Foglio2!BV$33)))</f>
        <v>0.25634840093232741</v>
      </c>
      <c r="BW45">
        <f>BW35*Foglio1!$D$5/(EXP(Foglio1!$C11-Foglio1!$D11/(Foglio1!$E11+Foglio2!BW$33)))</f>
        <v>0.25634840093290662</v>
      </c>
      <c r="BX45">
        <f>BX35*Foglio1!$D$5/(EXP(Foglio1!$C11-Foglio1!$D11/(Foglio1!$E11+Foglio2!BX$33)))</f>
        <v>0.25634840093261702</v>
      </c>
      <c r="BY45">
        <f>BY35*Foglio1!$D$5/(EXP(Foglio1!$C11-Foglio1!$D11/(Foglio1!$E11+Foglio2!BY$33)))</f>
        <v>0.25634840093276179</v>
      </c>
      <c r="BZ45">
        <f>BZ35*Foglio1!$D$5/(EXP(Foglio1!$C11-Foglio1!$D11/(Foglio1!$E11+Foglio2!BZ$33)))</f>
        <v>0.2563484009326894</v>
      </c>
      <c r="CA45">
        <f>CA35*Foglio1!$D$5/(EXP(Foglio1!$C11-Foglio1!$D11/(Foglio1!$E11+Foglio2!CA$33)))</f>
        <v>0.25634840093265299</v>
      </c>
      <c r="CB45">
        <f>CB35*Foglio1!$D$5/(EXP(Foglio1!$C11-Foglio1!$D11/(Foglio1!$E11+Foglio2!CB$33)))</f>
        <v>0.25634840093267075</v>
      </c>
      <c r="CC45">
        <f>CC35*Foglio1!$D$5/(EXP(Foglio1!$C11-Foglio1!$D11/(Foglio1!$E11+Foglio2!CC$33)))</f>
        <v>0.2563484009326803</v>
      </c>
      <c r="CD45">
        <f>CD35*Foglio1!$D$5/(EXP(Foglio1!$C11-Foglio1!$D11/(Foglio1!$E11+Foglio2!CD$33)))</f>
        <v>0.25634840093267575</v>
      </c>
      <c r="CE45">
        <f>CE35*Foglio1!$D$5/(EXP(Foglio1!$C11-Foglio1!$D11/(Foglio1!$E11+Foglio2!CE$33)))</f>
        <v>0.25634840093267347</v>
      </c>
      <c r="CF45">
        <f>CF35*Foglio1!$D$5/(EXP(Foglio1!$C11-Foglio1!$D11/(Foglio1!$E11+Foglio2!CF$33)))</f>
        <v>0.25634840093267486</v>
      </c>
    </row>
    <row r="46" spans="1:84" x14ac:dyDescent="0.25">
      <c r="AH46" t="s">
        <v>58</v>
      </c>
      <c r="AI46">
        <f>AI36*Foglio1!$D$5/(EXP(Foglio1!$C12-Foglio1!$D12/(Foglio1!$E12+Foglio2!AI$33)))</f>
        <v>0.2419069562600672</v>
      </c>
      <c r="AJ46">
        <f>AJ36*Foglio1!$D$5/(EXP(Foglio1!$C12-Foglio1!$D12/(Foglio1!$E12+Foglio2!AJ$33)))</f>
        <v>0.79575389665271035</v>
      </c>
      <c r="AK46">
        <f>AK36*Foglio1!$D$5/(EXP(Foglio1!$C12-Foglio1!$D12/(Foglio1!$E12+Foglio2!AK$33)))</f>
        <v>0.4160003321862461</v>
      </c>
      <c r="AL46">
        <f>AL36*Foglio1!$D$5/(EXP(Foglio1!$C12-Foglio1!$D12/(Foglio1!$E12+Foglio2!AL$33)))</f>
        <v>0.56668894271842429</v>
      </c>
      <c r="AM46">
        <f>AM36*Foglio1!$D$5/(EXP(Foglio1!$C12-Foglio1!$D12/(Foglio1!$E12+Foglio2!AM$33)))</f>
        <v>0.66879871685027703</v>
      </c>
      <c r="AN46">
        <f>AN36*Foglio1!$D$5/(EXP(Foglio1!$C12-Foglio1!$D12/(Foglio1!$E12+Foglio2!AN$33)))</f>
        <v>0.61502700688938083</v>
      </c>
      <c r="AO46">
        <f>AO36*Foglio1!$D$5/(EXP(Foglio1!$C12-Foglio1!$D12/(Foglio1!$E12+Foglio2!AO$33)))</f>
        <v>0.64118954521462634</v>
      </c>
      <c r="AP46">
        <f>AP36*Foglio1!$D$5/(EXP(Foglio1!$C12-Foglio1!$D12/(Foglio1!$E12+Foglio2!AP$33)))</f>
        <v>0.62793321610700714</v>
      </c>
      <c r="AQ46">
        <f>AQ36*Foglio1!$D$5/(EXP(Foglio1!$C12-Foglio1!$D12/(Foglio1!$E12+Foglio2!AQ$33)))</f>
        <v>0.62143704448435066</v>
      </c>
      <c r="AR46">
        <f>AR36*Foglio1!$D$5/(EXP(Foglio1!$C12-Foglio1!$D12/(Foglio1!$E12+Foglio2!AR$33)))</f>
        <v>0.61822134477620505</v>
      </c>
      <c r="AS46">
        <f>AS36*Foglio1!$D$5/(EXP(Foglio1!$C12-Foglio1!$D12/(Foglio1!$E12+Foglio2!AS$33)))</f>
        <v>0.61982651373408415</v>
      </c>
      <c r="AT46">
        <f>AT36*Foglio1!$D$5/(EXP(Foglio1!$C12-Foglio1!$D12/(Foglio1!$E12+Foglio2!AT$33)))</f>
        <v>0.62063110754621942</v>
      </c>
      <c r="AU46">
        <f>AU36*Foglio1!$D$5/(EXP(Foglio1!$C12-Foglio1!$D12/(Foglio1!$E12+Foglio2!AU$33)))</f>
        <v>0.62022864291701163</v>
      </c>
      <c r="AV46">
        <f>AV36*Foglio1!$D$5/(EXP(Foglio1!$C12-Foglio1!$D12/(Foglio1!$E12+Foglio2!AV$33)))</f>
        <v>0.62002753641569264</v>
      </c>
      <c r="AW46">
        <f>AW36*Foglio1!$D$5/(EXP(Foglio1!$C12-Foglio1!$D12/(Foglio1!$E12+Foglio2!AW$33)))</f>
        <v>0.61992701460003963</v>
      </c>
      <c r="AX46">
        <f>AX36*Foglio1!$D$5/(EXP(Foglio1!$C12-Foglio1!$D12/(Foglio1!$E12+Foglio2!AX$33)))</f>
        <v>0.61997727288882698</v>
      </c>
      <c r="AY46">
        <f>AY36*Foglio1!$D$5/(EXP(Foglio1!$C12-Foglio1!$D12/(Foglio1!$E12+Foglio2!AY$33)))</f>
        <v>0.62000240399745987</v>
      </c>
      <c r="AZ46">
        <f>AZ36*Foglio1!$D$5/(EXP(Foglio1!$C12-Foglio1!$D12/(Foglio1!$E12+Foglio2!AZ$33)))</f>
        <v>0.62001497004287121</v>
      </c>
      <c r="BA46">
        <f>BA36*Foglio1!$D$5/(EXP(Foglio1!$C12-Foglio1!$D12/(Foglio1!$E12+Foglio2!BA$33)))</f>
        <v>0.62000868697923961</v>
      </c>
      <c r="BB46">
        <f>BB36*Foglio1!$D$5/(EXP(Foglio1!$C12-Foglio1!$D12/(Foglio1!$E12+Foglio2!BB$33)))</f>
        <v>0.62000554547811781</v>
      </c>
      <c r="BC46">
        <f>BC36*Foglio1!$D$5/(EXP(Foglio1!$C12-Foglio1!$D12/(Foglio1!$E12+Foglio2!BC$33)))</f>
        <v>0.6200071162261207</v>
      </c>
      <c r="BD46">
        <f>BD36*Foglio1!$D$5/(EXP(Foglio1!$C12-Foglio1!$D12/(Foglio1!$E12+Foglio2!BD$33)))</f>
        <v>0.62000790160204122</v>
      </c>
      <c r="BE46">
        <f>BE36*Foglio1!$D$5/(EXP(Foglio1!$C12-Foglio1!$D12/(Foglio1!$E12+Foglio2!BE$33)))</f>
        <v>0.62000750891392076</v>
      </c>
      <c r="BF46">
        <f>BF36*Foglio1!$D$5/(EXP(Foglio1!$C12-Foglio1!$D12/(Foglio1!$E12+Foglio2!BF$33)))</f>
        <v>0.62000731256998076</v>
      </c>
      <c r="BG46">
        <f>BG36*Foglio1!$D$5/(EXP(Foglio1!$C12-Foglio1!$D12/(Foglio1!$E12+Foglio2!BG$33)))</f>
        <v>0.62000741074194132</v>
      </c>
      <c r="BH46">
        <f>BH36*Foglio1!$D$5/(EXP(Foglio1!$C12-Foglio1!$D12/(Foglio1!$E12+Foglio2!BH$33)))</f>
        <v>0.62000745982792804</v>
      </c>
      <c r="BI46">
        <f>BI36*Foglio1!$D$5/(EXP(Foglio1!$C12-Foglio1!$D12/(Foglio1!$E12+Foglio2!BI$33)))</f>
        <v>0.62000748437092512</v>
      </c>
      <c r="BJ46">
        <f>BJ36*Foglio1!$D$5/(EXP(Foglio1!$C12-Foglio1!$D12/(Foglio1!$E12+Foglio2!BJ$33)))</f>
        <v>0.62000747209942586</v>
      </c>
      <c r="BK46">
        <f>BK36*Foglio1!$D$5/(EXP(Foglio1!$C12-Foglio1!$D12/(Foglio1!$E12+Foglio2!BK$33)))</f>
        <v>0.62000746596367751</v>
      </c>
      <c r="BL46">
        <f>BL36*Foglio1!$D$5/(EXP(Foglio1!$C12-Foglio1!$D12/(Foglio1!$E12+Foglio2!BL$33)))</f>
        <v>0.62000746289580277</v>
      </c>
      <c r="BM46">
        <f>BM36*Foglio1!$D$5/(EXP(Foglio1!$C12-Foglio1!$D12/(Foglio1!$E12+Foglio2!BM$33)))</f>
        <v>0.6200074613618648</v>
      </c>
      <c r="BN46">
        <f>BN36*Foglio1!$D$5/(EXP(Foglio1!$C12-Foglio1!$D12/(Foglio1!$E12+Foglio2!BN$33)))</f>
        <v>0.62000746059489698</v>
      </c>
      <c r="BO46">
        <f>BO36*Foglio1!$D$5/(EXP(Foglio1!$C12-Foglio1!$D12/(Foglio1!$E12+Foglio2!BO$33)))</f>
        <v>0.620007460978381</v>
      </c>
      <c r="BP46">
        <f>BP36*Foglio1!$D$5/(EXP(Foglio1!$C12-Foglio1!$D12/(Foglio1!$E12+Foglio2!BP$33)))</f>
        <v>0.6200074607866406</v>
      </c>
      <c r="BQ46">
        <f>BQ36*Foglio1!$D$5/(EXP(Foglio1!$C12-Foglio1!$D12/(Foglio1!$E12+Foglio2!BQ$33)))</f>
        <v>0.62000746088251135</v>
      </c>
      <c r="BR46">
        <f>BR36*Foglio1!$D$5/(EXP(Foglio1!$C12-Foglio1!$D12/(Foglio1!$E12+Foglio2!BR$33)))</f>
        <v>0.62000746093044667</v>
      </c>
      <c r="BS46">
        <f>BS36*Foglio1!$D$5/(EXP(Foglio1!$C12-Foglio1!$D12/(Foglio1!$E12+Foglio2!BS$33)))</f>
        <v>0.62000746095441439</v>
      </c>
      <c r="BT46">
        <f>BT36*Foglio1!$D$5/(EXP(Foglio1!$C12-Foglio1!$D12/(Foglio1!$E12+Foglio2!BT$33)))</f>
        <v>0.62000746096639825</v>
      </c>
      <c r="BU46">
        <f>BU36*Foglio1!$D$5/(EXP(Foglio1!$C12-Foglio1!$D12/(Foglio1!$E12+Foglio2!BU$33)))</f>
        <v>0.62000746097238846</v>
      </c>
      <c r="BV46">
        <f>BV36*Foglio1!$D$5/(EXP(Foglio1!$C12-Foglio1!$D12/(Foglio1!$E12+Foglio2!BV$33)))</f>
        <v>0.62000746097538528</v>
      </c>
      <c r="BW46">
        <f>BW36*Foglio1!$D$5/(EXP(Foglio1!$C12-Foglio1!$D12/(Foglio1!$E12+Foglio2!BW$33)))</f>
        <v>0.62000746097688419</v>
      </c>
      <c r="BX46">
        <f>BX36*Foglio1!$D$5/(EXP(Foglio1!$C12-Foglio1!$D12/(Foglio1!$E12+Foglio2!BX$33)))</f>
        <v>0.62000746097613524</v>
      </c>
      <c r="BY46">
        <f>BY36*Foglio1!$D$5/(EXP(Foglio1!$C12-Foglio1!$D12/(Foglio1!$E12+Foglio2!BY$33)))</f>
        <v>0.62000746097650972</v>
      </c>
      <c r="BZ46">
        <f>BZ36*Foglio1!$D$5/(EXP(Foglio1!$C12-Foglio1!$D12/(Foglio1!$E12+Foglio2!BZ$33)))</f>
        <v>0.62000746097632253</v>
      </c>
      <c r="CA46">
        <f>CA36*Foglio1!$D$5/(EXP(Foglio1!$C12-Foglio1!$D12/(Foglio1!$E12+Foglio2!CA$33)))</f>
        <v>0.62000746097622772</v>
      </c>
      <c r="CB46">
        <f>CB36*Foglio1!$D$5/(EXP(Foglio1!$C12-Foglio1!$D12/(Foglio1!$E12+Foglio2!CB$33)))</f>
        <v>0.62000746097627513</v>
      </c>
      <c r="CC46">
        <f>CC36*Foglio1!$D$5/(EXP(Foglio1!$C12-Foglio1!$D12/(Foglio1!$E12+Foglio2!CC$33)))</f>
        <v>0.62000746097629833</v>
      </c>
      <c r="CD46">
        <f>CD36*Foglio1!$D$5/(EXP(Foglio1!$C12-Foglio1!$D12/(Foglio1!$E12+Foglio2!CD$33)))</f>
        <v>0.62000746097628723</v>
      </c>
      <c r="CE46">
        <f>CE36*Foglio1!$D$5/(EXP(Foglio1!$C12-Foglio1!$D12/(Foglio1!$E12+Foglio2!CE$33)))</f>
        <v>0.62000746097628057</v>
      </c>
      <c r="CF46">
        <f>CF36*Foglio1!$D$5/(EXP(Foglio1!$C12-Foglio1!$D12/(Foglio1!$E12+Foglio2!CF$33)))</f>
        <v>0.6200074609762839</v>
      </c>
    </row>
    <row r="47" spans="1:84" x14ac:dyDescent="0.25">
      <c r="AH47" t="s">
        <v>59</v>
      </c>
      <c r="AI47">
        <f>AI37*Foglio1!$D$5/(EXP(Foglio1!$C13-Foglio1!$D13/(Foglio1!$E13+Foglio2!AI$33)))</f>
        <v>1.9954248948667052E-2</v>
      </c>
      <c r="AJ47">
        <f>AJ37*Foglio1!$D$5/(EXP(Foglio1!$C13-Foglio1!$D13/(Foglio1!$E13+Foglio2!AJ$33)))</f>
        <v>7.652471986270673E-2</v>
      </c>
      <c r="AK47">
        <f>AK37*Foglio1!$D$5/(EXP(Foglio1!$C13-Foglio1!$D13/(Foglio1!$E13+Foglio2!AK$33)))</f>
        <v>3.6758790793929387E-2</v>
      </c>
      <c r="AL47">
        <f>AL37*Foglio1!$D$5/(EXP(Foglio1!$C13-Foglio1!$D13/(Foglio1!$E13+Foglio2!AL$33)))</f>
        <v>5.2118610023725524E-2</v>
      </c>
      <c r="AM47">
        <f>AM37*Foglio1!$D$5/(EXP(Foglio1!$C13-Foglio1!$D13/(Foglio1!$E13+Foglio2!AM$33)))</f>
        <v>6.2858089769303335E-2</v>
      </c>
      <c r="AN47">
        <f>AN37*Foglio1!$D$5/(EXP(Foglio1!$C13-Foglio1!$D13/(Foglio1!$E13+Foglio2!AN$33)))</f>
        <v>5.717239558482716E-2</v>
      </c>
      <c r="AO47">
        <f>AO37*Foglio1!$D$5/(EXP(Foglio1!$C13-Foglio1!$D13/(Foglio1!$E13+Foglio2!AO$33)))</f>
        <v>5.993063777061506E-2</v>
      </c>
      <c r="AP47">
        <f>AP37*Foglio1!$D$5/(EXP(Foglio1!$C13-Foglio1!$D13/(Foglio1!$E13+Foglio2!AP$33)))</f>
        <v>5.8531102776199467E-2</v>
      </c>
      <c r="AQ47">
        <f>AQ37*Foglio1!$D$5/(EXP(Foglio1!$C13-Foglio1!$D13/(Foglio1!$E13+Foglio2!AQ$33)))</f>
        <v>5.7846734658698253E-2</v>
      </c>
      <c r="AR47">
        <f>AR37*Foglio1!$D$5/(EXP(Foglio1!$C13-Foglio1!$D13/(Foglio1!$E13+Foglio2!AR$33)))</f>
        <v>5.7508322416473662E-2</v>
      </c>
      <c r="AS47">
        <f>AS37*Foglio1!$D$5/(EXP(Foglio1!$C13-Foglio1!$D13/(Foglio1!$E13+Foglio2!AS$33)))</f>
        <v>5.7677216504154034E-2</v>
      </c>
      <c r="AT47">
        <f>AT37*Foglio1!$D$5/(EXP(Foglio1!$C13-Foglio1!$D13/(Foglio1!$E13+Foglio2!AT$33)))</f>
        <v>5.7761897402686287E-2</v>
      </c>
      <c r="AU47">
        <f>AU37*Foglio1!$D$5/(EXP(Foglio1!$C13-Foglio1!$D13/(Foglio1!$E13+Foglio2!AU$33)))</f>
        <v>5.771953743006622E-2</v>
      </c>
      <c r="AV47">
        <f>AV37*Foglio1!$D$5/(EXP(Foglio1!$C13-Foglio1!$D13/(Foglio1!$E13+Foglio2!AV$33)))</f>
        <v>5.7698372088935128E-2</v>
      </c>
      <c r="AW47">
        <f>AW37*Foglio1!$D$5/(EXP(Foglio1!$C13-Foglio1!$D13/(Foglio1!$E13+Foglio2!AW$33)))</f>
        <v>5.7687793077333557E-2</v>
      </c>
      <c r="AX47">
        <f>AX37*Foglio1!$D$5/(EXP(Foglio1!$C13-Foglio1!$D13/(Foglio1!$E13+Foglio2!AX$33)))</f>
        <v>5.7693082278289995E-2</v>
      </c>
      <c r="AY47">
        <f>AY37*Foglio1!$D$5/(EXP(Foglio1!$C13-Foglio1!$D13/(Foglio1!$E13+Foglio2!AY$33)))</f>
        <v>5.7695727107396212E-2</v>
      </c>
      <c r="AZ47">
        <f>AZ37*Foglio1!$D$5/(EXP(Foglio1!$C13-Foglio1!$D13/(Foglio1!$E13+Foglio2!AZ$33)))</f>
        <v>5.7697049579110975E-2</v>
      </c>
      <c r="BA47">
        <f>BA37*Foglio1!$D$5/(EXP(Foglio1!$C13-Foglio1!$D13/(Foglio1!$E13+Foglio2!BA$33)))</f>
        <v>5.7696388338489987E-2</v>
      </c>
      <c r="BB47">
        <f>BB37*Foglio1!$D$5/(EXP(Foglio1!$C13-Foglio1!$D13/(Foglio1!$E13+Foglio2!BB$33)))</f>
        <v>5.769605772175225E-2</v>
      </c>
      <c r="BC47">
        <f>BC37*Foglio1!$D$5/(EXP(Foglio1!$C13-Foglio1!$D13/(Foglio1!$E13+Foglio2!BC$33)))</f>
        <v>5.7696223029823378E-2</v>
      </c>
      <c r="BD47">
        <f>BD37*Foglio1!$D$5/(EXP(Foglio1!$C13-Foglio1!$D13/(Foglio1!$E13+Foglio2!BD$33)))</f>
        <v>5.769630568408228E-2</v>
      </c>
      <c r="BE47">
        <f>BE37*Foglio1!$D$5/(EXP(Foglio1!$C13-Foglio1!$D13/(Foglio1!$E13+Foglio2!BE$33)))</f>
        <v>5.7696264356934208E-2</v>
      </c>
      <c r="BF47">
        <f>BF37*Foglio1!$D$5/(EXP(Foglio1!$C13-Foglio1!$D13/(Foglio1!$E13+Foglio2!BF$33)))</f>
        <v>5.7696243693374193E-2</v>
      </c>
      <c r="BG47">
        <f>BG37*Foglio1!$D$5/(EXP(Foglio1!$C13-Foglio1!$D13/(Foglio1!$E13+Foglio2!BG$33)))</f>
        <v>5.7696254025153076E-2</v>
      </c>
      <c r="BH47">
        <f>BH37*Foglio1!$D$5/(EXP(Foglio1!$C13-Foglio1!$D13/(Foglio1!$E13+Foglio2!BH$33)))</f>
        <v>5.7696259191043313E-2</v>
      </c>
      <c r="BI47">
        <f>BI37*Foglio1!$D$5/(EXP(Foglio1!$C13-Foglio1!$D13/(Foglio1!$E13+Foglio2!BI$33)))</f>
        <v>5.7696261773988726E-2</v>
      </c>
      <c r="BJ47">
        <f>BJ37*Foglio1!$D$5/(EXP(Foglio1!$C13-Foglio1!$D13/(Foglio1!$E13+Foglio2!BJ$33)))</f>
        <v>5.7696260482516054E-2</v>
      </c>
      <c r="BK47">
        <f>BK37*Foglio1!$D$5/(EXP(Foglio1!$C13-Foglio1!$D13/(Foglio1!$E13+Foglio2!BK$33)))</f>
        <v>5.7696259836779652E-2</v>
      </c>
      <c r="BL47">
        <f>BL37*Foglio1!$D$5/(EXP(Foglio1!$C13-Foglio1!$D13/(Foglio1!$E13+Foglio2!BL$33)))</f>
        <v>5.7696259513911483E-2</v>
      </c>
      <c r="BM47">
        <f>BM37*Foglio1!$D$5/(EXP(Foglio1!$C13-Foglio1!$D13/(Foglio1!$E13+Foglio2!BM$33)))</f>
        <v>5.7696259352477394E-2</v>
      </c>
      <c r="BN47">
        <f>BN37*Foglio1!$D$5/(EXP(Foglio1!$C13-Foglio1!$D13/(Foglio1!$E13+Foglio2!BN$33)))</f>
        <v>5.7696259271760378E-2</v>
      </c>
      <c r="BO47">
        <f>BO37*Foglio1!$D$5/(EXP(Foglio1!$C13-Foglio1!$D13/(Foglio1!$E13+Foglio2!BO$33)))</f>
        <v>5.7696259312118858E-2</v>
      </c>
      <c r="BP47">
        <f>BP37*Foglio1!$D$5/(EXP(Foglio1!$C13-Foglio1!$D13/(Foglio1!$E13+Foglio2!BP$33)))</f>
        <v>5.7696259291939722E-2</v>
      </c>
      <c r="BQ47">
        <f>BQ37*Foglio1!$D$5/(EXP(Foglio1!$C13-Foglio1!$D13/(Foglio1!$E13+Foglio2!BQ$33)))</f>
        <v>5.7696259302029269E-2</v>
      </c>
      <c r="BR47">
        <f>BR37*Foglio1!$D$5/(EXP(Foglio1!$C13-Foglio1!$D13/(Foglio1!$E13+Foglio2!BR$33)))</f>
        <v>5.7696259307074088E-2</v>
      </c>
      <c r="BS47">
        <f>BS37*Foglio1!$D$5/(EXP(Foglio1!$C13-Foglio1!$D13/(Foglio1!$E13+Foglio2!BS$33)))</f>
        <v>5.7696259309596501E-2</v>
      </c>
      <c r="BT47">
        <f>BT37*Foglio1!$D$5/(EXP(Foglio1!$C13-Foglio1!$D13/(Foglio1!$E13+Foglio2!BT$33)))</f>
        <v>5.7696259310857728E-2</v>
      </c>
      <c r="BU47">
        <f>BU37*Foglio1!$D$5/(EXP(Foglio1!$C13-Foglio1!$D13/(Foglio1!$E13+Foglio2!BU$33)))</f>
        <v>5.7696259311488252E-2</v>
      </c>
      <c r="BV47">
        <f>BV37*Foglio1!$D$5/(EXP(Foglio1!$C13-Foglio1!$D13/(Foglio1!$E13+Foglio2!BV$33)))</f>
        <v>5.7696259311803548E-2</v>
      </c>
      <c r="BW47">
        <f>BW37*Foglio1!$D$5/(EXP(Foglio1!$C13-Foglio1!$D13/(Foglio1!$E13+Foglio2!BW$33)))</f>
        <v>5.7696259311961332E-2</v>
      </c>
      <c r="BX47">
        <f>BX37*Foglio1!$D$5/(EXP(Foglio1!$C13-Foglio1!$D13/(Foglio1!$E13+Foglio2!BX$33)))</f>
        <v>5.7696259311882415E-2</v>
      </c>
      <c r="BY47">
        <f>BY37*Foglio1!$D$5/(EXP(Foglio1!$C13-Foglio1!$D13/(Foglio1!$E13+Foglio2!BY$33)))</f>
        <v>5.7696259311921877E-2</v>
      </c>
      <c r="BZ47">
        <f>BZ37*Foglio1!$D$5/(EXP(Foglio1!$C13-Foglio1!$D13/(Foglio1!$E13+Foglio2!BZ$33)))</f>
        <v>5.7696259311902198E-2</v>
      </c>
      <c r="CA47">
        <f>CA37*Foglio1!$D$5/(EXP(Foglio1!$C13-Foglio1!$D13/(Foglio1!$E13+Foglio2!CA$33)))</f>
        <v>5.769625931189231E-2</v>
      </c>
      <c r="CB47">
        <f>CB37*Foglio1!$D$5/(EXP(Foglio1!$C13-Foglio1!$D13/(Foglio1!$E13+Foglio2!CB$33)))</f>
        <v>5.7696259311897223E-2</v>
      </c>
      <c r="CC47">
        <f>CC37*Foglio1!$D$5/(EXP(Foglio1!$C13-Foglio1!$D13/(Foglio1!$E13+Foglio2!CC$33)))</f>
        <v>5.7696259311899693E-2</v>
      </c>
      <c r="CD47">
        <f>CD37*Foglio1!$D$5/(EXP(Foglio1!$C13-Foglio1!$D13/(Foglio1!$E13+Foglio2!CD$33)))</f>
        <v>5.7696259311898514E-2</v>
      </c>
      <c r="CE47">
        <f>CE37*Foglio1!$D$5/(EXP(Foglio1!$C13-Foglio1!$D13/(Foglio1!$E13+Foglio2!CE$33)))</f>
        <v>5.7696259311897792E-2</v>
      </c>
      <c r="CF47">
        <f>CF37*Foglio1!$D$5/(EXP(Foglio1!$C13-Foglio1!$D13/(Foglio1!$E13+Foglio2!CF$33)))</f>
        <v>5.7696259311898146E-2</v>
      </c>
    </row>
    <row r="48" spans="1:84" x14ac:dyDescent="0.25">
      <c r="AH48" t="s">
        <v>60</v>
      </c>
      <c r="AI48">
        <f>AI38*Foglio1!$D$5/(EXP(Foglio1!$C14-Foglio1!$D14/(Foglio1!$E14+Foglio2!AI$33)))</f>
        <v>5.972216783490622E-3</v>
      </c>
      <c r="AJ48">
        <f>AJ38*Foglio1!$D$5/(EXP(Foglio1!$C14-Foglio1!$D14/(Foglio1!$E14+Foglio2!AJ$33)))</f>
        <v>2.4625792418042834E-2</v>
      </c>
      <c r="AK48">
        <f>AK38*Foglio1!$D$5/(EXP(Foglio1!$C14-Foglio1!$D14/(Foglio1!$E14+Foglio2!AK$33)))</f>
        <v>1.1370580510988441E-2</v>
      </c>
      <c r="AL48">
        <f>AL38*Foglio1!$D$5/(EXP(Foglio1!$C14-Foglio1!$D14/(Foglio1!$E14+Foglio2!AL$33)))</f>
        <v>1.6428258936829823E-2</v>
      </c>
      <c r="AM48">
        <f>AM38*Foglio1!$D$5/(EXP(Foglio1!$C14-Foglio1!$D14/(Foglio1!$E14+Foglio2!AM$33)))</f>
        <v>2.0014549906760225E-2</v>
      </c>
      <c r="AN48">
        <f>AN38*Foglio1!$D$5/(EXP(Foglio1!$C14-Foglio1!$D14/(Foglio1!$E14+Foglio2!AN$33)))</f>
        <v>1.8111391349091444E-2</v>
      </c>
      <c r="AO48">
        <f>AO38*Foglio1!$D$5/(EXP(Foglio1!$C14-Foglio1!$D14/(Foglio1!$E14+Foglio2!AO$33)))</f>
        <v>1.9033438516775247E-2</v>
      </c>
      <c r="AP48">
        <f>AP38*Foglio1!$D$5/(EXP(Foglio1!$C14-Foglio1!$D14/(Foglio1!$E14+Foglio2!AP$33)))</f>
        <v>1.8565298676958962E-2</v>
      </c>
      <c r="AQ48">
        <f>AQ38*Foglio1!$D$5/(EXP(Foglio1!$C14-Foglio1!$D14/(Foglio1!$E14+Foglio2!AQ$33)))</f>
        <v>1.8336598095511799E-2</v>
      </c>
      <c r="AR48">
        <f>AR38*Foglio1!$D$5/(EXP(Foglio1!$C14-Foglio1!$D14/(Foglio1!$E14+Foglio2!AR$33)))</f>
        <v>1.8223561938819962E-2</v>
      </c>
      <c r="AS48">
        <f>AS38*Foglio1!$D$5/(EXP(Foglio1!$C14-Foglio1!$D14/(Foglio1!$E14+Foglio2!AS$33)))</f>
        <v>1.8279971331242654E-2</v>
      </c>
      <c r="AT48">
        <f>AT38*Foglio1!$D$5/(EXP(Foglio1!$C14-Foglio1!$D14/(Foglio1!$E14+Foglio2!AT$33)))</f>
        <v>1.8308257480362623E-2</v>
      </c>
      <c r="AU48">
        <f>AU38*Foglio1!$D$5/(EXP(Foglio1!$C14-Foglio1!$D14/(Foglio1!$E14+Foglio2!AU$33)))</f>
        <v>1.8294107605253102E-2</v>
      </c>
      <c r="AV48">
        <f>AV38*Foglio1!$D$5/(EXP(Foglio1!$C14-Foglio1!$D14/(Foglio1!$E14+Foglio2!AV$33)))</f>
        <v>1.8287037769072419E-2</v>
      </c>
      <c r="AW48">
        <f>AW38*Foglio1!$D$5/(EXP(Foglio1!$C14-Foglio1!$D14/(Foglio1!$E14+Foglio2!AW$33)))</f>
        <v>1.8283504125483824E-2</v>
      </c>
      <c r="AX48">
        <f>AX38*Foglio1!$D$5/(EXP(Foglio1!$C14-Foglio1!$D14/(Foglio1!$E14+Foglio2!AX$33)))</f>
        <v>1.8285270841094686E-2</v>
      </c>
      <c r="AY48">
        <f>AY38*Foglio1!$D$5/(EXP(Foglio1!$C14-Foglio1!$D14/(Foglio1!$E14+Foglio2!AY$33)))</f>
        <v>1.8286154278535798E-2</v>
      </c>
      <c r="AZ48">
        <f>AZ38*Foglio1!$D$5/(EXP(Foglio1!$C14-Foglio1!$D14/(Foglio1!$E14+Foglio2!AZ$33)))</f>
        <v>1.8286596017166954E-2</v>
      </c>
      <c r="BA48">
        <f>BA38*Foglio1!$D$5/(EXP(Foglio1!$C14-Foglio1!$D14/(Foglio1!$E14+Foglio2!BA$33)))</f>
        <v>1.8286375146192142E-2</v>
      </c>
      <c r="BB48">
        <f>BB38*Foglio1!$D$5/(EXP(Foglio1!$C14-Foglio1!$D14/(Foglio1!$E14+Foglio2!BB$33)))</f>
        <v>1.8286264711949187E-2</v>
      </c>
      <c r="BC48">
        <f>BC38*Foglio1!$D$5/(EXP(Foglio1!$C14-Foglio1!$D14/(Foglio1!$E14+Foglio2!BC$33)))</f>
        <v>1.8286319928966947E-2</v>
      </c>
      <c r="BD48">
        <f>BD38*Foglio1!$D$5/(EXP(Foglio1!$C14-Foglio1!$D14/(Foglio1!$E14+Foglio2!BD$33)))</f>
        <v>1.8286347537553631E-2</v>
      </c>
      <c r="BE48">
        <f>BE38*Foglio1!$D$5/(EXP(Foglio1!$C14-Foglio1!$D14/(Foglio1!$E14+Foglio2!BE$33)))</f>
        <v>1.8286333733253779E-2</v>
      </c>
      <c r="BF48">
        <f>BF38*Foglio1!$D$5/(EXP(Foglio1!$C14-Foglio1!$D14/(Foglio1!$E14+Foglio2!BF$33)))</f>
        <v>1.828632683110875E-2</v>
      </c>
      <c r="BG48">
        <f>BG38*Foglio1!$D$5/(EXP(Foglio1!$C14-Foglio1!$D14/(Foglio1!$E14+Foglio2!BG$33)))</f>
        <v>1.8286330282180872E-2</v>
      </c>
      <c r="BH48">
        <f>BH38*Foglio1!$D$5/(EXP(Foglio1!$C14-Foglio1!$D14/(Foglio1!$E14+Foglio2!BH$33)))</f>
        <v>1.8286332007717229E-2</v>
      </c>
      <c r="BI48">
        <f>BI38*Foglio1!$D$5/(EXP(Foglio1!$C14-Foglio1!$D14/(Foglio1!$E14+Foglio2!BI$33)))</f>
        <v>1.8286332870485502E-2</v>
      </c>
      <c r="BJ48">
        <f>BJ38*Foglio1!$D$5/(EXP(Foglio1!$C14-Foglio1!$D14/(Foglio1!$E14+Foglio2!BJ$33)))</f>
        <v>1.8286332439101376E-2</v>
      </c>
      <c r="BK48">
        <f>BK38*Foglio1!$D$5/(EXP(Foglio1!$C14-Foglio1!$D14/(Foglio1!$E14+Foglio2!BK$33)))</f>
        <v>1.8286332223409304E-2</v>
      </c>
      <c r="BL48">
        <f>BL38*Foglio1!$D$5/(EXP(Foglio1!$C14-Foglio1!$D14/(Foglio1!$E14+Foglio2!BL$33)))</f>
        <v>1.8286332115563266E-2</v>
      </c>
      <c r="BM48">
        <f>BM38*Foglio1!$D$5/(EXP(Foglio1!$C14-Foglio1!$D14/(Foglio1!$E14+Foglio2!BM$33)))</f>
        <v>1.828633206164023E-2</v>
      </c>
      <c r="BN48">
        <f>BN38*Foglio1!$D$5/(EXP(Foglio1!$C14-Foglio1!$D14/(Foglio1!$E14+Foglio2!BN$33)))</f>
        <v>1.8286332034678714E-2</v>
      </c>
      <c r="BO48">
        <f>BO38*Foglio1!$D$5/(EXP(Foglio1!$C14-Foglio1!$D14/(Foglio1!$E14+Foglio2!BO$33)))</f>
        <v>1.8286332048159472E-2</v>
      </c>
      <c r="BP48">
        <f>BP38*Foglio1!$D$5/(EXP(Foglio1!$C14-Foglio1!$D14/(Foglio1!$E14+Foglio2!BP$33)))</f>
        <v>1.8286332041419141E-2</v>
      </c>
      <c r="BQ48">
        <f>BQ38*Foglio1!$D$5/(EXP(Foglio1!$C14-Foglio1!$D14/(Foglio1!$E14+Foglio2!BQ$33)))</f>
        <v>1.8286332044789293E-2</v>
      </c>
      <c r="BR48">
        <f>BR38*Foglio1!$D$5/(EXP(Foglio1!$C14-Foglio1!$D14/(Foglio1!$E14+Foglio2!BR$33)))</f>
        <v>1.8286332046474386E-2</v>
      </c>
      <c r="BS48">
        <f>BS38*Foglio1!$D$5/(EXP(Foglio1!$C14-Foglio1!$D14/(Foglio1!$E14+Foglio2!BS$33)))</f>
        <v>1.8286332047316962E-2</v>
      </c>
      <c r="BT48">
        <f>BT38*Foglio1!$D$5/(EXP(Foglio1!$C14-Foglio1!$D14/(Foglio1!$E14+Foglio2!BT$33)))</f>
        <v>1.8286332047738236E-2</v>
      </c>
      <c r="BU48">
        <f>BU38*Foglio1!$D$5/(EXP(Foglio1!$C14-Foglio1!$D14/(Foglio1!$E14+Foglio2!BU$33)))</f>
        <v>1.8286332047948852E-2</v>
      </c>
      <c r="BV48">
        <f>BV38*Foglio1!$D$5/(EXP(Foglio1!$C14-Foglio1!$D14/(Foglio1!$E14+Foglio2!BV$33)))</f>
        <v>1.8286332048054164E-2</v>
      </c>
      <c r="BW48">
        <f>BW38*Foglio1!$D$5/(EXP(Foglio1!$C14-Foglio1!$D14/(Foglio1!$E14+Foglio2!BW$33)))</f>
        <v>1.8286332048106851E-2</v>
      </c>
      <c r="BX48">
        <f>BX38*Foglio1!$D$5/(EXP(Foglio1!$C14-Foglio1!$D14/(Foglio1!$E14+Foglio2!BX$33)))</f>
        <v>1.8286332048080507E-2</v>
      </c>
      <c r="BY48">
        <f>BY38*Foglio1!$D$5/(EXP(Foglio1!$C14-Foglio1!$D14/(Foglio1!$E14+Foglio2!BY$33)))</f>
        <v>1.8286332048093663E-2</v>
      </c>
      <c r="BZ48">
        <f>BZ38*Foglio1!$D$5/(EXP(Foglio1!$C14-Foglio1!$D14/(Foglio1!$E14+Foglio2!BZ$33)))</f>
        <v>1.8286332048087099E-2</v>
      </c>
      <c r="CA48">
        <f>CA38*Foglio1!$D$5/(EXP(Foglio1!$C14-Foglio1!$D14/(Foglio1!$E14+Foglio2!CA$33)))</f>
        <v>1.8286332048083821E-2</v>
      </c>
      <c r="CB48">
        <f>CB38*Foglio1!$D$5/(EXP(Foglio1!$C14-Foglio1!$D14/(Foglio1!$E14+Foglio2!CB$33)))</f>
        <v>1.8286332048085444E-2</v>
      </c>
      <c r="CC48">
        <f>CC38*Foglio1!$D$5/(EXP(Foglio1!$C14-Foglio1!$D14/(Foglio1!$E14+Foglio2!CC$33)))</f>
        <v>1.8286332048086256E-2</v>
      </c>
      <c r="CD48">
        <f>CD38*Foglio1!$D$5/(EXP(Foglio1!$C14-Foglio1!$D14/(Foglio1!$E14+Foglio2!CD$33)))</f>
        <v>1.8286332048085864E-2</v>
      </c>
      <c r="CE48">
        <f>CE38*Foglio1!$D$5/(EXP(Foglio1!$C14-Foglio1!$D14/(Foglio1!$E14+Foglio2!CE$33)))</f>
        <v>1.8286332048085642E-2</v>
      </c>
      <c r="CF48">
        <f>CF38*Foglio1!$D$5/(EXP(Foglio1!$C14-Foglio1!$D14/(Foglio1!$E14+Foglio2!CF$33)))</f>
        <v>1.8286332048085736E-2</v>
      </c>
    </row>
    <row r="49" spans="34:84" x14ac:dyDescent="0.25">
      <c r="AH49" t="s">
        <v>61</v>
      </c>
      <c r="AI49">
        <f>AI39*Foglio1!$D$5/(EXP(Foglio1!$C15-Foglio1!$D15/(Foglio1!$E15+Foglio2!AI$33)))</f>
        <v>0</v>
      </c>
      <c r="AJ49">
        <f>AJ39*Foglio1!$D$5/(EXP(Foglio1!$C15-Foglio1!$D15/(Foglio1!$E15+Foglio2!AJ$33)))</f>
        <v>0</v>
      </c>
      <c r="AK49">
        <f>AK39*Foglio1!$D$5/(EXP(Foglio1!$C15-Foglio1!$D15/(Foglio1!$E15+Foglio2!AK$33)))</f>
        <v>0</v>
      </c>
      <c r="AL49">
        <f>AL39*Foglio1!$D$5/(EXP(Foglio1!$C15-Foglio1!$D15/(Foglio1!$E15+Foglio2!AL$33)))</f>
        <v>0</v>
      </c>
      <c r="AM49">
        <f>AM39*Foglio1!$D$5/(EXP(Foglio1!$C15-Foglio1!$D15/(Foglio1!$E15+Foglio2!AM$33)))</f>
        <v>0</v>
      </c>
      <c r="AN49">
        <f>AN39*Foglio1!$D$5/(EXP(Foglio1!$C15-Foglio1!$D15/(Foglio1!$E15+Foglio2!AN$33)))</f>
        <v>0</v>
      </c>
      <c r="AO49">
        <f>AO39*Foglio1!$D$5/(EXP(Foglio1!$C15-Foglio1!$D15/(Foglio1!$E15+Foglio2!AO$33)))</f>
        <v>0</v>
      </c>
      <c r="AP49">
        <f>AP39*Foglio1!$D$5/(EXP(Foglio1!$C15-Foglio1!$D15/(Foglio1!$E15+Foglio2!AP$33)))</f>
        <v>0</v>
      </c>
      <c r="AQ49">
        <f>AQ39*Foglio1!$D$5/(EXP(Foglio1!$C15-Foglio1!$D15/(Foglio1!$E15+Foglio2!AQ$33)))</f>
        <v>0</v>
      </c>
      <c r="AR49">
        <f>AR39*Foglio1!$D$5/(EXP(Foglio1!$C15-Foglio1!$D15/(Foglio1!$E15+Foglio2!AR$33)))</f>
        <v>0</v>
      </c>
      <c r="AS49">
        <f>AS39*Foglio1!$D$5/(EXP(Foglio1!$C15-Foglio1!$D15/(Foglio1!$E15+Foglio2!AS$33)))</f>
        <v>0</v>
      </c>
      <c r="AT49">
        <f>AT39*Foglio1!$D$5/(EXP(Foglio1!$C15-Foglio1!$D15/(Foglio1!$E15+Foglio2!AT$33)))</f>
        <v>0</v>
      </c>
      <c r="AU49">
        <f>AU39*Foglio1!$D$5/(EXP(Foglio1!$C15-Foglio1!$D15/(Foglio1!$E15+Foglio2!AU$33)))</f>
        <v>0</v>
      </c>
      <c r="AV49">
        <f>AV39*Foglio1!$D$5/(EXP(Foglio1!$C15-Foglio1!$D15/(Foglio1!$E15+Foglio2!AV$33)))</f>
        <v>0</v>
      </c>
      <c r="AW49">
        <f>AW39*Foglio1!$D$5/(EXP(Foglio1!$C15-Foglio1!$D15/(Foglio1!$E15+Foglio2!AW$33)))</f>
        <v>0</v>
      </c>
      <c r="AX49">
        <f>AX39*Foglio1!$D$5/(EXP(Foglio1!$C15-Foglio1!$D15/(Foglio1!$E15+Foglio2!AX$33)))</f>
        <v>0</v>
      </c>
      <c r="AY49">
        <f>AY39*Foglio1!$D$5/(EXP(Foglio1!$C15-Foglio1!$D15/(Foglio1!$E15+Foglio2!AY$33)))</f>
        <v>0</v>
      </c>
      <c r="AZ49">
        <f>AZ39*Foglio1!$D$5/(EXP(Foglio1!$C15-Foglio1!$D15/(Foglio1!$E15+Foglio2!AZ$33)))</f>
        <v>0</v>
      </c>
      <c r="BA49">
        <f>BA39*Foglio1!$D$5/(EXP(Foglio1!$C15-Foglio1!$D15/(Foglio1!$E15+Foglio2!BA$33)))</f>
        <v>0</v>
      </c>
      <c r="BB49">
        <f>BB39*Foglio1!$D$5/(EXP(Foglio1!$C15-Foglio1!$D15/(Foglio1!$E15+Foglio2!BB$33)))</f>
        <v>0</v>
      </c>
      <c r="BC49">
        <f>BC39*Foglio1!$D$5/(EXP(Foglio1!$C15-Foglio1!$D15/(Foglio1!$E15+Foglio2!BC$33)))</f>
        <v>0</v>
      </c>
      <c r="BD49">
        <f>BD39*Foglio1!$D$5/(EXP(Foglio1!$C15-Foglio1!$D15/(Foglio1!$E15+Foglio2!BD$33)))</f>
        <v>0</v>
      </c>
      <c r="BE49">
        <f>BE39*Foglio1!$D$5/(EXP(Foglio1!$C15-Foglio1!$D15/(Foglio1!$E15+Foglio2!BE$33)))</f>
        <v>0</v>
      </c>
      <c r="BF49">
        <f>BF39*Foglio1!$D$5/(EXP(Foglio1!$C15-Foglio1!$D15/(Foglio1!$E15+Foglio2!BF$33)))</f>
        <v>0</v>
      </c>
      <c r="BG49">
        <f>BG39*Foglio1!$D$5/(EXP(Foglio1!$C15-Foglio1!$D15/(Foglio1!$E15+Foglio2!BG$33)))</f>
        <v>0</v>
      </c>
      <c r="BH49">
        <f>BH39*Foglio1!$D$5/(EXP(Foglio1!$C15-Foglio1!$D15/(Foglio1!$E15+Foglio2!BH$33)))</f>
        <v>0</v>
      </c>
      <c r="BI49">
        <f>BI39*Foglio1!$D$5/(EXP(Foglio1!$C15-Foglio1!$D15/(Foglio1!$E15+Foglio2!BI$33)))</f>
        <v>0</v>
      </c>
      <c r="BJ49">
        <f>BJ39*Foglio1!$D$5/(EXP(Foglio1!$C15-Foglio1!$D15/(Foglio1!$E15+Foglio2!BJ$33)))</f>
        <v>0</v>
      </c>
      <c r="BK49">
        <f>BK39*Foglio1!$D$5/(EXP(Foglio1!$C15-Foglio1!$D15/(Foglio1!$E15+Foglio2!BK$33)))</f>
        <v>0</v>
      </c>
      <c r="BL49">
        <f>BL39*Foglio1!$D$5/(EXP(Foglio1!$C15-Foglio1!$D15/(Foglio1!$E15+Foglio2!BL$33)))</f>
        <v>0</v>
      </c>
      <c r="BM49">
        <f>BM39*Foglio1!$D$5/(EXP(Foglio1!$C15-Foglio1!$D15/(Foglio1!$E15+Foglio2!BM$33)))</f>
        <v>0</v>
      </c>
      <c r="BN49">
        <f>BN39*Foglio1!$D$5/(EXP(Foglio1!$C15-Foglio1!$D15/(Foglio1!$E15+Foglio2!BN$33)))</f>
        <v>0</v>
      </c>
      <c r="BO49">
        <f>BO39*Foglio1!$D$5/(EXP(Foglio1!$C15-Foglio1!$D15/(Foglio1!$E15+Foglio2!BO$33)))</f>
        <v>0</v>
      </c>
      <c r="BP49">
        <f>BP39*Foglio1!$D$5/(EXP(Foglio1!$C15-Foglio1!$D15/(Foglio1!$E15+Foglio2!BP$33)))</f>
        <v>0</v>
      </c>
      <c r="BQ49">
        <f>BQ39*Foglio1!$D$5/(EXP(Foglio1!$C15-Foglio1!$D15/(Foglio1!$E15+Foglio2!BQ$33)))</f>
        <v>0</v>
      </c>
      <c r="BR49">
        <f>BR39*Foglio1!$D$5/(EXP(Foglio1!$C15-Foglio1!$D15/(Foglio1!$E15+Foglio2!BR$33)))</f>
        <v>0</v>
      </c>
      <c r="BS49">
        <f>BS39*Foglio1!$D$5/(EXP(Foglio1!$C15-Foglio1!$D15/(Foglio1!$E15+Foglio2!BS$33)))</f>
        <v>0</v>
      </c>
      <c r="BT49">
        <f>BT39*Foglio1!$D$5/(EXP(Foglio1!$C15-Foglio1!$D15/(Foglio1!$E15+Foglio2!BT$33)))</f>
        <v>0</v>
      </c>
      <c r="BU49">
        <f>BU39*Foglio1!$D$5/(EXP(Foglio1!$C15-Foglio1!$D15/(Foglio1!$E15+Foglio2!BU$33)))</f>
        <v>0</v>
      </c>
      <c r="BV49">
        <f>BV39*Foglio1!$D$5/(EXP(Foglio1!$C15-Foglio1!$D15/(Foglio1!$E15+Foglio2!BV$33)))</f>
        <v>0</v>
      </c>
      <c r="BW49">
        <f>BW39*Foglio1!$D$5/(EXP(Foglio1!$C15-Foglio1!$D15/(Foglio1!$E15+Foglio2!BW$33)))</f>
        <v>0</v>
      </c>
      <c r="BX49">
        <f>BX39*Foglio1!$D$5/(EXP(Foglio1!$C15-Foglio1!$D15/(Foglio1!$E15+Foglio2!BX$33)))</f>
        <v>0</v>
      </c>
      <c r="BY49">
        <f>BY39*Foglio1!$D$5/(EXP(Foglio1!$C15-Foglio1!$D15/(Foglio1!$E15+Foglio2!BY$33)))</f>
        <v>0</v>
      </c>
      <c r="BZ49">
        <f>BZ39*Foglio1!$D$5/(EXP(Foglio1!$C15-Foglio1!$D15/(Foglio1!$E15+Foglio2!BZ$33)))</f>
        <v>0</v>
      </c>
      <c r="CA49">
        <f>CA39*Foglio1!$D$5/(EXP(Foglio1!$C15-Foglio1!$D15/(Foglio1!$E15+Foglio2!CA$33)))</f>
        <v>0</v>
      </c>
      <c r="CB49">
        <f>CB39*Foglio1!$D$5/(EXP(Foglio1!$C15-Foglio1!$D15/(Foglio1!$E15+Foglio2!CB$33)))</f>
        <v>0</v>
      </c>
      <c r="CC49">
        <f>CC39*Foglio1!$D$5/(EXP(Foglio1!$C15-Foglio1!$D15/(Foglio1!$E15+Foglio2!CC$33)))</f>
        <v>0</v>
      </c>
      <c r="CD49">
        <f>CD39*Foglio1!$D$5/(EXP(Foglio1!$C15-Foglio1!$D15/(Foglio1!$E15+Foglio2!CD$33)))</f>
        <v>0</v>
      </c>
      <c r="CE49">
        <f>CE39*Foglio1!$D$5/(EXP(Foglio1!$C15-Foglio1!$D15/(Foglio1!$E15+Foglio2!CE$33)))</f>
        <v>0</v>
      </c>
      <c r="CF49">
        <f>CF39*Foglio1!$D$5/(EXP(Foglio1!$C15-Foglio1!$D15/(Foglio1!$E15+Foglio2!CF$33)))</f>
        <v>0</v>
      </c>
    </row>
    <row r="50" spans="34:84" x14ac:dyDescent="0.25">
      <c r="AH50" t="s">
        <v>62</v>
      </c>
      <c r="AI50">
        <f>AI40*Foglio1!$D$5/(EXP(Foglio1!$C16-Foglio1!$D16/(Foglio1!$E16+Foglio2!AI$33)))</f>
        <v>0</v>
      </c>
      <c r="AJ50">
        <f>AJ40*Foglio1!$D$5/(EXP(Foglio1!$C16-Foglio1!$D16/(Foglio1!$E16+Foglio2!AJ$33)))</f>
        <v>0</v>
      </c>
      <c r="AK50">
        <f>AK40*Foglio1!$D$5/(EXP(Foglio1!$C16-Foglio1!$D16/(Foglio1!$E16+Foglio2!AK$33)))</f>
        <v>0</v>
      </c>
      <c r="AL50">
        <f>AL40*Foglio1!$D$5/(EXP(Foglio1!$C16-Foglio1!$D16/(Foglio1!$E16+Foglio2!AL$33)))</f>
        <v>0</v>
      </c>
      <c r="AM50">
        <f>AM40*Foglio1!$D$5/(EXP(Foglio1!$C16-Foglio1!$D16/(Foglio1!$E16+Foglio2!AM$33)))</f>
        <v>0</v>
      </c>
      <c r="AN50">
        <f>AN40*Foglio1!$D$5/(EXP(Foglio1!$C16-Foglio1!$D16/(Foglio1!$E16+Foglio2!AN$33)))</f>
        <v>0</v>
      </c>
      <c r="AO50">
        <f>AO40*Foglio1!$D$5/(EXP(Foglio1!$C16-Foglio1!$D16/(Foglio1!$E16+Foglio2!AO$33)))</f>
        <v>0</v>
      </c>
      <c r="AP50">
        <f>AP40*Foglio1!$D$5/(EXP(Foglio1!$C16-Foglio1!$D16/(Foglio1!$E16+Foglio2!AP$33)))</f>
        <v>0</v>
      </c>
      <c r="AQ50">
        <f>AQ40*Foglio1!$D$5/(EXP(Foglio1!$C16-Foglio1!$D16/(Foglio1!$E16+Foglio2!AQ$33)))</f>
        <v>0</v>
      </c>
      <c r="AR50">
        <f>AR40*Foglio1!$D$5/(EXP(Foglio1!$C16-Foglio1!$D16/(Foglio1!$E16+Foglio2!AR$33)))</f>
        <v>0</v>
      </c>
      <c r="AS50">
        <f>AS40*Foglio1!$D$5/(EXP(Foglio1!$C16-Foglio1!$D16/(Foglio1!$E16+Foglio2!AS$33)))</f>
        <v>0</v>
      </c>
      <c r="AT50">
        <f>AT40*Foglio1!$D$5/(EXP(Foglio1!$C16-Foglio1!$D16/(Foglio1!$E16+Foglio2!AT$33)))</f>
        <v>0</v>
      </c>
      <c r="AU50">
        <f>AU40*Foglio1!$D$5/(EXP(Foglio1!$C16-Foglio1!$D16/(Foglio1!$E16+Foglio2!AU$33)))</f>
        <v>0</v>
      </c>
      <c r="AV50">
        <f>AV40*Foglio1!$D$5/(EXP(Foglio1!$C16-Foglio1!$D16/(Foglio1!$E16+Foglio2!AV$33)))</f>
        <v>0</v>
      </c>
      <c r="AW50">
        <f>AW40*Foglio1!$D$5/(EXP(Foglio1!$C16-Foglio1!$D16/(Foglio1!$E16+Foglio2!AW$33)))</f>
        <v>0</v>
      </c>
      <c r="AX50">
        <f>AX40*Foglio1!$D$5/(EXP(Foglio1!$C16-Foglio1!$D16/(Foglio1!$E16+Foglio2!AX$33)))</f>
        <v>0</v>
      </c>
      <c r="AY50">
        <f>AY40*Foglio1!$D$5/(EXP(Foglio1!$C16-Foglio1!$D16/(Foglio1!$E16+Foglio2!AY$33)))</f>
        <v>0</v>
      </c>
      <c r="AZ50">
        <f>AZ40*Foglio1!$D$5/(EXP(Foglio1!$C16-Foglio1!$D16/(Foglio1!$E16+Foglio2!AZ$33)))</f>
        <v>0</v>
      </c>
      <c r="BA50">
        <f>BA40*Foglio1!$D$5/(EXP(Foglio1!$C16-Foglio1!$D16/(Foglio1!$E16+Foglio2!BA$33)))</f>
        <v>0</v>
      </c>
      <c r="BB50">
        <f>BB40*Foglio1!$D$5/(EXP(Foglio1!$C16-Foglio1!$D16/(Foglio1!$E16+Foglio2!BB$33)))</f>
        <v>0</v>
      </c>
      <c r="BC50">
        <f>BC40*Foglio1!$D$5/(EXP(Foglio1!$C16-Foglio1!$D16/(Foglio1!$E16+Foglio2!BC$33)))</f>
        <v>0</v>
      </c>
      <c r="BD50">
        <f>BD40*Foglio1!$D$5/(EXP(Foglio1!$C16-Foglio1!$D16/(Foglio1!$E16+Foglio2!BD$33)))</f>
        <v>0</v>
      </c>
      <c r="BE50">
        <f>BE40*Foglio1!$D$5/(EXP(Foglio1!$C16-Foglio1!$D16/(Foglio1!$E16+Foglio2!BE$33)))</f>
        <v>0</v>
      </c>
      <c r="BF50">
        <f>BF40*Foglio1!$D$5/(EXP(Foglio1!$C16-Foglio1!$D16/(Foglio1!$E16+Foglio2!BF$33)))</f>
        <v>0</v>
      </c>
      <c r="BG50">
        <f>BG40*Foglio1!$D$5/(EXP(Foglio1!$C16-Foglio1!$D16/(Foglio1!$E16+Foglio2!BG$33)))</f>
        <v>0</v>
      </c>
      <c r="BH50">
        <f>BH40*Foglio1!$D$5/(EXP(Foglio1!$C16-Foglio1!$D16/(Foglio1!$E16+Foglio2!BH$33)))</f>
        <v>0</v>
      </c>
      <c r="BI50">
        <f>BI40*Foglio1!$D$5/(EXP(Foglio1!$C16-Foglio1!$D16/(Foglio1!$E16+Foglio2!BI$33)))</f>
        <v>0</v>
      </c>
      <c r="BJ50">
        <f>BJ40*Foglio1!$D$5/(EXP(Foglio1!$C16-Foglio1!$D16/(Foglio1!$E16+Foglio2!BJ$33)))</f>
        <v>0</v>
      </c>
      <c r="BK50">
        <f>BK40*Foglio1!$D$5/(EXP(Foglio1!$C16-Foglio1!$D16/(Foglio1!$E16+Foglio2!BK$33)))</f>
        <v>0</v>
      </c>
      <c r="BL50">
        <f>BL40*Foglio1!$D$5/(EXP(Foglio1!$C16-Foglio1!$D16/(Foglio1!$E16+Foglio2!BL$33)))</f>
        <v>0</v>
      </c>
      <c r="BM50">
        <f>BM40*Foglio1!$D$5/(EXP(Foglio1!$C16-Foglio1!$D16/(Foglio1!$E16+Foglio2!BM$33)))</f>
        <v>0</v>
      </c>
      <c r="BN50">
        <f>BN40*Foglio1!$D$5/(EXP(Foglio1!$C16-Foglio1!$D16/(Foglio1!$E16+Foglio2!BN$33)))</f>
        <v>0</v>
      </c>
      <c r="BO50">
        <f>BO40*Foglio1!$D$5/(EXP(Foglio1!$C16-Foglio1!$D16/(Foglio1!$E16+Foglio2!BO$33)))</f>
        <v>0</v>
      </c>
      <c r="BP50">
        <f>BP40*Foglio1!$D$5/(EXP(Foglio1!$C16-Foglio1!$D16/(Foglio1!$E16+Foglio2!BP$33)))</f>
        <v>0</v>
      </c>
      <c r="BQ50">
        <f>BQ40*Foglio1!$D$5/(EXP(Foglio1!$C16-Foglio1!$D16/(Foglio1!$E16+Foglio2!BQ$33)))</f>
        <v>0</v>
      </c>
      <c r="BR50">
        <f>BR40*Foglio1!$D$5/(EXP(Foglio1!$C16-Foglio1!$D16/(Foglio1!$E16+Foglio2!BR$33)))</f>
        <v>0</v>
      </c>
      <c r="BS50">
        <f>BS40*Foglio1!$D$5/(EXP(Foglio1!$C16-Foglio1!$D16/(Foglio1!$E16+Foglio2!BS$33)))</f>
        <v>0</v>
      </c>
      <c r="BT50">
        <f>BT40*Foglio1!$D$5/(EXP(Foglio1!$C16-Foglio1!$D16/(Foglio1!$E16+Foglio2!BT$33)))</f>
        <v>0</v>
      </c>
      <c r="BU50">
        <f>BU40*Foglio1!$D$5/(EXP(Foglio1!$C16-Foglio1!$D16/(Foglio1!$E16+Foglio2!BU$33)))</f>
        <v>0</v>
      </c>
      <c r="BV50">
        <f>BV40*Foglio1!$D$5/(EXP(Foglio1!$C16-Foglio1!$D16/(Foglio1!$E16+Foglio2!BV$33)))</f>
        <v>0</v>
      </c>
      <c r="BW50">
        <f>BW40*Foglio1!$D$5/(EXP(Foglio1!$C16-Foglio1!$D16/(Foglio1!$E16+Foglio2!BW$33)))</f>
        <v>0</v>
      </c>
      <c r="BX50">
        <f>BX40*Foglio1!$D$5/(EXP(Foglio1!$C16-Foglio1!$D16/(Foglio1!$E16+Foglio2!BX$33)))</f>
        <v>0</v>
      </c>
      <c r="BY50">
        <f>BY40*Foglio1!$D$5/(EXP(Foglio1!$C16-Foglio1!$D16/(Foglio1!$E16+Foglio2!BY$33)))</f>
        <v>0</v>
      </c>
      <c r="BZ50">
        <f>BZ40*Foglio1!$D$5/(EXP(Foglio1!$C16-Foglio1!$D16/(Foglio1!$E16+Foglio2!BZ$33)))</f>
        <v>0</v>
      </c>
      <c r="CA50">
        <f>CA40*Foglio1!$D$5/(EXP(Foglio1!$C16-Foglio1!$D16/(Foglio1!$E16+Foglio2!CA$33)))</f>
        <v>0</v>
      </c>
      <c r="CB50">
        <f>CB40*Foglio1!$D$5/(EXP(Foglio1!$C16-Foglio1!$D16/(Foglio1!$E16+Foglio2!CB$33)))</f>
        <v>0</v>
      </c>
      <c r="CC50">
        <f>CC40*Foglio1!$D$5/(EXP(Foglio1!$C16-Foglio1!$D16/(Foglio1!$E16+Foglio2!CC$33)))</f>
        <v>0</v>
      </c>
      <c r="CD50">
        <f>CD40*Foglio1!$D$5/(EXP(Foglio1!$C16-Foglio1!$D16/(Foglio1!$E16+Foglio2!CD$33)))</f>
        <v>0</v>
      </c>
      <c r="CE50">
        <f>CE40*Foglio1!$D$5/(EXP(Foglio1!$C16-Foglio1!$D16/(Foglio1!$E16+Foglio2!CE$33)))</f>
        <v>0</v>
      </c>
      <c r="CF50">
        <f>CF40*Foglio1!$D$5/(EXP(Foglio1!$C16-Foglio1!$D16/(Foglio1!$E16+Foglio2!CF$33)))</f>
        <v>0</v>
      </c>
    </row>
    <row r="51" spans="34:84" x14ac:dyDescent="0.25">
      <c r="AH51" t="s">
        <v>63</v>
      </c>
      <c r="AI51">
        <f>AI41*Foglio1!$D$5/(EXP(Foglio1!$C17-Foglio1!$D17/(Foglio1!$E17+Foglio2!AI$33)))</f>
        <v>0</v>
      </c>
      <c r="AJ51">
        <f>AJ41*Foglio1!$D$5/(EXP(Foglio1!$C17-Foglio1!$D17/(Foglio1!$E17+Foglio2!AJ$33)))</f>
        <v>0</v>
      </c>
      <c r="AK51">
        <f>AK41*Foglio1!$D$5/(EXP(Foglio1!$C17-Foglio1!$D17/(Foglio1!$E17+Foglio2!AK$33)))</f>
        <v>0</v>
      </c>
      <c r="AL51">
        <f>AL41*Foglio1!$D$5/(EXP(Foglio1!$C17-Foglio1!$D17/(Foglio1!$E17+Foglio2!AL$33)))</f>
        <v>0</v>
      </c>
      <c r="AM51">
        <f>AM41*Foglio1!$D$5/(EXP(Foglio1!$C17-Foglio1!$D17/(Foglio1!$E17+Foglio2!AM$33)))</f>
        <v>0</v>
      </c>
      <c r="AN51">
        <f>AN41*Foglio1!$D$5/(EXP(Foglio1!$C17-Foglio1!$D17/(Foglio1!$E17+Foglio2!AN$33)))</f>
        <v>0</v>
      </c>
      <c r="AO51">
        <f>AO41*Foglio1!$D$5/(EXP(Foglio1!$C17-Foglio1!$D17/(Foglio1!$E17+Foglio2!AO$33)))</f>
        <v>0</v>
      </c>
      <c r="AP51">
        <f>AP41*Foglio1!$D$5/(EXP(Foglio1!$C17-Foglio1!$D17/(Foglio1!$E17+Foglio2!AP$33)))</f>
        <v>0</v>
      </c>
      <c r="AQ51">
        <f>AQ41*Foglio1!$D$5/(EXP(Foglio1!$C17-Foglio1!$D17/(Foglio1!$E17+Foglio2!AQ$33)))</f>
        <v>0</v>
      </c>
      <c r="AR51">
        <f>AR41*Foglio1!$D$5/(EXP(Foglio1!$C17-Foglio1!$D17/(Foglio1!$E17+Foglio2!AR$33)))</f>
        <v>0</v>
      </c>
      <c r="AS51">
        <f>AS41*Foglio1!$D$5/(EXP(Foglio1!$C17-Foglio1!$D17/(Foglio1!$E17+Foglio2!AS$33)))</f>
        <v>0</v>
      </c>
      <c r="AT51">
        <f>AT41*Foglio1!$D$5/(EXP(Foglio1!$C17-Foglio1!$D17/(Foglio1!$E17+Foglio2!AT$33)))</f>
        <v>0</v>
      </c>
      <c r="AU51">
        <f>AU41*Foglio1!$D$5/(EXP(Foglio1!$C17-Foglio1!$D17/(Foglio1!$E17+Foglio2!AU$33)))</f>
        <v>0</v>
      </c>
      <c r="AV51">
        <f>AV41*Foglio1!$D$5/(EXP(Foglio1!$C17-Foglio1!$D17/(Foglio1!$E17+Foglio2!AV$33)))</f>
        <v>0</v>
      </c>
      <c r="AW51">
        <f>AW41*Foglio1!$D$5/(EXP(Foglio1!$C17-Foglio1!$D17/(Foglio1!$E17+Foglio2!AW$33)))</f>
        <v>0</v>
      </c>
      <c r="AX51">
        <f>AX41*Foglio1!$D$5/(EXP(Foglio1!$C17-Foglio1!$D17/(Foglio1!$E17+Foglio2!AX$33)))</f>
        <v>0</v>
      </c>
      <c r="AY51">
        <f>AY41*Foglio1!$D$5/(EXP(Foglio1!$C17-Foglio1!$D17/(Foglio1!$E17+Foglio2!AY$33)))</f>
        <v>0</v>
      </c>
      <c r="AZ51">
        <f>AZ41*Foglio1!$D$5/(EXP(Foglio1!$C17-Foglio1!$D17/(Foglio1!$E17+Foglio2!AZ$33)))</f>
        <v>0</v>
      </c>
      <c r="BA51">
        <f>BA41*Foglio1!$D$5/(EXP(Foglio1!$C17-Foglio1!$D17/(Foglio1!$E17+Foglio2!BA$33)))</f>
        <v>0</v>
      </c>
      <c r="BB51">
        <f>BB41*Foglio1!$D$5/(EXP(Foglio1!$C17-Foglio1!$D17/(Foglio1!$E17+Foglio2!BB$33)))</f>
        <v>0</v>
      </c>
      <c r="BC51">
        <f>BC41*Foglio1!$D$5/(EXP(Foglio1!$C17-Foglio1!$D17/(Foglio1!$E17+Foglio2!BC$33)))</f>
        <v>0</v>
      </c>
      <c r="BD51">
        <f>BD41*Foglio1!$D$5/(EXP(Foglio1!$C17-Foglio1!$D17/(Foglio1!$E17+Foglio2!BD$33)))</f>
        <v>0</v>
      </c>
      <c r="BE51">
        <f>BE41*Foglio1!$D$5/(EXP(Foglio1!$C17-Foglio1!$D17/(Foglio1!$E17+Foglio2!BE$33)))</f>
        <v>0</v>
      </c>
      <c r="BF51">
        <f>BF41*Foglio1!$D$5/(EXP(Foglio1!$C17-Foglio1!$D17/(Foglio1!$E17+Foglio2!BF$33)))</f>
        <v>0</v>
      </c>
      <c r="BG51">
        <f>BG41*Foglio1!$D$5/(EXP(Foglio1!$C17-Foglio1!$D17/(Foglio1!$E17+Foglio2!BG$33)))</f>
        <v>0</v>
      </c>
      <c r="BH51">
        <f>BH41*Foglio1!$D$5/(EXP(Foglio1!$C17-Foglio1!$D17/(Foglio1!$E17+Foglio2!BH$33)))</f>
        <v>0</v>
      </c>
      <c r="BI51">
        <f>BI41*Foglio1!$D$5/(EXP(Foglio1!$C17-Foglio1!$D17/(Foglio1!$E17+Foglio2!BI$33)))</f>
        <v>0</v>
      </c>
      <c r="BJ51">
        <f>BJ41*Foglio1!$D$5/(EXP(Foglio1!$C17-Foglio1!$D17/(Foglio1!$E17+Foglio2!BJ$33)))</f>
        <v>0</v>
      </c>
      <c r="BK51">
        <f>BK41*Foglio1!$D$5/(EXP(Foglio1!$C17-Foglio1!$D17/(Foglio1!$E17+Foglio2!BK$33)))</f>
        <v>0</v>
      </c>
      <c r="BL51">
        <f>BL41*Foglio1!$D$5/(EXP(Foglio1!$C17-Foglio1!$D17/(Foglio1!$E17+Foglio2!BL$33)))</f>
        <v>0</v>
      </c>
      <c r="BM51">
        <f>BM41*Foglio1!$D$5/(EXP(Foglio1!$C17-Foglio1!$D17/(Foglio1!$E17+Foglio2!BM$33)))</f>
        <v>0</v>
      </c>
      <c r="BN51">
        <f>BN41*Foglio1!$D$5/(EXP(Foglio1!$C17-Foglio1!$D17/(Foglio1!$E17+Foglio2!BN$33)))</f>
        <v>0</v>
      </c>
      <c r="BO51">
        <f>BO41*Foglio1!$D$5/(EXP(Foglio1!$C17-Foglio1!$D17/(Foglio1!$E17+Foglio2!BO$33)))</f>
        <v>0</v>
      </c>
      <c r="BP51">
        <f>BP41*Foglio1!$D$5/(EXP(Foglio1!$C17-Foglio1!$D17/(Foglio1!$E17+Foglio2!BP$33)))</f>
        <v>0</v>
      </c>
      <c r="BQ51">
        <f>BQ41*Foglio1!$D$5/(EXP(Foglio1!$C17-Foglio1!$D17/(Foglio1!$E17+Foglio2!BQ$33)))</f>
        <v>0</v>
      </c>
      <c r="BR51">
        <f>BR41*Foglio1!$D$5/(EXP(Foglio1!$C17-Foglio1!$D17/(Foglio1!$E17+Foglio2!BR$33)))</f>
        <v>0</v>
      </c>
      <c r="BS51">
        <f>BS41*Foglio1!$D$5/(EXP(Foglio1!$C17-Foglio1!$D17/(Foglio1!$E17+Foglio2!BS$33)))</f>
        <v>0</v>
      </c>
      <c r="BT51">
        <f>BT41*Foglio1!$D$5/(EXP(Foglio1!$C17-Foglio1!$D17/(Foglio1!$E17+Foglio2!BT$33)))</f>
        <v>0</v>
      </c>
      <c r="BU51">
        <f>BU41*Foglio1!$D$5/(EXP(Foglio1!$C17-Foglio1!$D17/(Foglio1!$E17+Foglio2!BU$33)))</f>
        <v>0</v>
      </c>
      <c r="BV51">
        <f>BV41*Foglio1!$D$5/(EXP(Foglio1!$C17-Foglio1!$D17/(Foglio1!$E17+Foglio2!BV$33)))</f>
        <v>0</v>
      </c>
      <c r="BW51">
        <f>BW41*Foglio1!$D$5/(EXP(Foglio1!$C17-Foglio1!$D17/(Foglio1!$E17+Foglio2!BW$33)))</f>
        <v>0</v>
      </c>
      <c r="BX51">
        <f>BX41*Foglio1!$D$5/(EXP(Foglio1!$C17-Foglio1!$D17/(Foglio1!$E17+Foglio2!BX$33)))</f>
        <v>0</v>
      </c>
      <c r="BY51">
        <f>BY41*Foglio1!$D$5/(EXP(Foglio1!$C17-Foglio1!$D17/(Foglio1!$E17+Foglio2!BY$33)))</f>
        <v>0</v>
      </c>
      <c r="BZ51">
        <f>BZ41*Foglio1!$D$5/(EXP(Foglio1!$C17-Foglio1!$D17/(Foglio1!$E17+Foglio2!BZ$33)))</f>
        <v>0</v>
      </c>
      <c r="CA51">
        <f>CA41*Foglio1!$D$5/(EXP(Foglio1!$C17-Foglio1!$D17/(Foglio1!$E17+Foglio2!CA$33)))</f>
        <v>0</v>
      </c>
      <c r="CB51">
        <f>CB41*Foglio1!$D$5/(EXP(Foglio1!$C17-Foglio1!$D17/(Foglio1!$E17+Foglio2!CB$33)))</f>
        <v>0</v>
      </c>
      <c r="CC51">
        <f>CC41*Foglio1!$D$5/(EXP(Foglio1!$C17-Foglio1!$D17/(Foglio1!$E17+Foglio2!CC$33)))</f>
        <v>0</v>
      </c>
      <c r="CD51">
        <f>CD41*Foglio1!$D$5/(EXP(Foglio1!$C17-Foglio1!$D17/(Foglio1!$E17+Foglio2!CD$33)))</f>
        <v>0</v>
      </c>
      <c r="CE51">
        <f>CE41*Foglio1!$D$5/(EXP(Foglio1!$C17-Foglio1!$D17/(Foglio1!$E17+Foglio2!CE$33)))</f>
        <v>0</v>
      </c>
      <c r="CF51">
        <f>CF41*Foglio1!$D$5/(EXP(Foglio1!$C17-Foglio1!$D17/(Foglio1!$E17+Foglio2!CF$33)))</f>
        <v>0</v>
      </c>
    </row>
    <row r="52" spans="34:84" x14ac:dyDescent="0.25">
      <c r="AH52" t="s">
        <v>64</v>
      </c>
      <c r="AI52">
        <f>AI42*Foglio1!$D$5/(EXP(Foglio1!$C18-Foglio1!$D18/(Foglio1!$E18+Foglio2!AI$33)))</f>
        <v>0</v>
      </c>
      <c r="AJ52">
        <f>AJ42*Foglio1!$D$5/(EXP(Foglio1!$C18-Foglio1!$D18/(Foglio1!$E18+Foglio2!AJ$33)))</f>
        <v>0</v>
      </c>
      <c r="AK52">
        <f>AK42*Foglio1!$D$5/(EXP(Foglio1!$C18-Foglio1!$D18/(Foglio1!$E18+Foglio2!AK$33)))</f>
        <v>0</v>
      </c>
      <c r="AL52">
        <f>AL42*Foglio1!$D$5/(EXP(Foglio1!$C18-Foglio1!$D18/(Foglio1!$E18+Foglio2!AL$33)))</f>
        <v>0</v>
      </c>
      <c r="AM52">
        <f>AM42*Foglio1!$D$5/(EXP(Foglio1!$C18-Foglio1!$D18/(Foglio1!$E18+Foglio2!AM$33)))</f>
        <v>0</v>
      </c>
      <c r="AN52">
        <f>AN42*Foglio1!$D$5/(EXP(Foglio1!$C18-Foglio1!$D18/(Foglio1!$E18+Foglio2!AN$33)))</f>
        <v>0</v>
      </c>
      <c r="AO52">
        <f>AO42*Foglio1!$D$5/(EXP(Foglio1!$C18-Foglio1!$D18/(Foglio1!$E18+Foglio2!AO$33)))</f>
        <v>0</v>
      </c>
      <c r="AP52">
        <f>AP42*Foglio1!$D$5/(EXP(Foglio1!$C18-Foglio1!$D18/(Foglio1!$E18+Foglio2!AP$33)))</f>
        <v>0</v>
      </c>
      <c r="AQ52">
        <f>AQ42*Foglio1!$D$5/(EXP(Foglio1!$C18-Foglio1!$D18/(Foglio1!$E18+Foglio2!AQ$33)))</f>
        <v>0</v>
      </c>
      <c r="AR52">
        <f>AR42*Foglio1!$D$5/(EXP(Foglio1!$C18-Foglio1!$D18/(Foglio1!$E18+Foglio2!AR$33)))</f>
        <v>0</v>
      </c>
      <c r="AS52">
        <f>AS42*Foglio1!$D$5/(EXP(Foglio1!$C18-Foglio1!$D18/(Foglio1!$E18+Foglio2!AS$33)))</f>
        <v>0</v>
      </c>
      <c r="AT52">
        <f>AT42*Foglio1!$D$5/(EXP(Foglio1!$C18-Foglio1!$D18/(Foglio1!$E18+Foglio2!AT$33)))</f>
        <v>0</v>
      </c>
      <c r="AU52">
        <f>AU42*Foglio1!$D$5/(EXP(Foglio1!$C18-Foglio1!$D18/(Foglio1!$E18+Foglio2!AU$33)))</f>
        <v>0</v>
      </c>
      <c r="AV52">
        <f>AV42*Foglio1!$D$5/(EXP(Foglio1!$C18-Foglio1!$D18/(Foglio1!$E18+Foglio2!AV$33)))</f>
        <v>0</v>
      </c>
      <c r="AW52">
        <f>AW42*Foglio1!$D$5/(EXP(Foglio1!$C18-Foglio1!$D18/(Foglio1!$E18+Foglio2!AW$33)))</f>
        <v>0</v>
      </c>
      <c r="AX52">
        <f>AX42*Foglio1!$D$5/(EXP(Foglio1!$C18-Foglio1!$D18/(Foglio1!$E18+Foglio2!AX$33)))</f>
        <v>0</v>
      </c>
      <c r="AY52">
        <f>AY42*Foglio1!$D$5/(EXP(Foglio1!$C18-Foglio1!$D18/(Foglio1!$E18+Foglio2!AY$33)))</f>
        <v>0</v>
      </c>
      <c r="AZ52">
        <f>AZ42*Foglio1!$D$5/(EXP(Foglio1!$C18-Foglio1!$D18/(Foglio1!$E18+Foglio2!AZ$33)))</f>
        <v>0</v>
      </c>
      <c r="BA52">
        <f>BA42*Foglio1!$D$5/(EXP(Foglio1!$C18-Foglio1!$D18/(Foglio1!$E18+Foglio2!BA$33)))</f>
        <v>0</v>
      </c>
      <c r="BB52">
        <f>BB42*Foglio1!$D$5/(EXP(Foglio1!$C18-Foglio1!$D18/(Foglio1!$E18+Foglio2!BB$33)))</f>
        <v>0</v>
      </c>
      <c r="BC52">
        <f>BC42*Foglio1!$D$5/(EXP(Foglio1!$C18-Foglio1!$D18/(Foglio1!$E18+Foglio2!BC$33)))</f>
        <v>0</v>
      </c>
      <c r="BD52">
        <f>BD42*Foglio1!$D$5/(EXP(Foglio1!$C18-Foglio1!$D18/(Foglio1!$E18+Foglio2!BD$33)))</f>
        <v>0</v>
      </c>
      <c r="BE52">
        <f>BE42*Foglio1!$D$5/(EXP(Foglio1!$C18-Foglio1!$D18/(Foglio1!$E18+Foglio2!BE$33)))</f>
        <v>0</v>
      </c>
      <c r="BF52">
        <f>BF42*Foglio1!$D$5/(EXP(Foglio1!$C18-Foglio1!$D18/(Foglio1!$E18+Foglio2!BF$33)))</f>
        <v>0</v>
      </c>
      <c r="BG52">
        <f>BG42*Foglio1!$D$5/(EXP(Foglio1!$C18-Foglio1!$D18/(Foglio1!$E18+Foglio2!BG$33)))</f>
        <v>0</v>
      </c>
      <c r="BH52">
        <f>BH42*Foglio1!$D$5/(EXP(Foglio1!$C18-Foglio1!$D18/(Foglio1!$E18+Foglio2!BH$33)))</f>
        <v>0</v>
      </c>
      <c r="BI52">
        <f>BI42*Foglio1!$D$5/(EXP(Foglio1!$C18-Foglio1!$D18/(Foglio1!$E18+Foglio2!BI$33)))</f>
        <v>0</v>
      </c>
      <c r="BJ52">
        <f>BJ42*Foglio1!$D$5/(EXP(Foglio1!$C18-Foglio1!$D18/(Foglio1!$E18+Foglio2!BJ$33)))</f>
        <v>0</v>
      </c>
      <c r="BK52">
        <f>BK42*Foglio1!$D$5/(EXP(Foglio1!$C18-Foglio1!$D18/(Foglio1!$E18+Foglio2!BK$33)))</f>
        <v>0</v>
      </c>
      <c r="BL52">
        <f>BL42*Foglio1!$D$5/(EXP(Foglio1!$C18-Foglio1!$D18/(Foglio1!$E18+Foglio2!BL$33)))</f>
        <v>0</v>
      </c>
      <c r="BM52">
        <f>BM42*Foglio1!$D$5/(EXP(Foglio1!$C18-Foglio1!$D18/(Foglio1!$E18+Foglio2!BM$33)))</f>
        <v>0</v>
      </c>
      <c r="BN52">
        <f>BN42*Foglio1!$D$5/(EXP(Foglio1!$C18-Foglio1!$D18/(Foglio1!$E18+Foglio2!BN$33)))</f>
        <v>0</v>
      </c>
      <c r="BO52">
        <f>BO42*Foglio1!$D$5/(EXP(Foglio1!$C18-Foglio1!$D18/(Foglio1!$E18+Foglio2!BO$33)))</f>
        <v>0</v>
      </c>
      <c r="BP52">
        <f>BP42*Foglio1!$D$5/(EXP(Foglio1!$C18-Foglio1!$D18/(Foglio1!$E18+Foglio2!BP$33)))</f>
        <v>0</v>
      </c>
      <c r="BQ52">
        <f>BQ42*Foglio1!$D$5/(EXP(Foglio1!$C18-Foglio1!$D18/(Foglio1!$E18+Foglio2!BQ$33)))</f>
        <v>0</v>
      </c>
      <c r="BR52">
        <f>BR42*Foglio1!$D$5/(EXP(Foglio1!$C18-Foglio1!$D18/(Foglio1!$E18+Foglio2!BR$33)))</f>
        <v>0</v>
      </c>
      <c r="BS52">
        <f>BS42*Foglio1!$D$5/(EXP(Foglio1!$C18-Foglio1!$D18/(Foglio1!$E18+Foglio2!BS$33)))</f>
        <v>0</v>
      </c>
      <c r="BT52">
        <f>BT42*Foglio1!$D$5/(EXP(Foglio1!$C18-Foglio1!$D18/(Foglio1!$E18+Foglio2!BT$33)))</f>
        <v>0</v>
      </c>
      <c r="BU52">
        <f>BU42*Foglio1!$D$5/(EXP(Foglio1!$C18-Foglio1!$D18/(Foglio1!$E18+Foglio2!BU$33)))</f>
        <v>0</v>
      </c>
      <c r="BV52">
        <f>BV42*Foglio1!$D$5/(EXP(Foglio1!$C18-Foglio1!$D18/(Foglio1!$E18+Foglio2!BV$33)))</f>
        <v>0</v>
      </c>
      <c r="BW52">
        <f>BW42*Foglio1!$D$5/(EXP(Foglio1!$C18-Foglio1!$D18/(Foglio1!$E18+Foglio2!BW$33)))</f>
        <v>0</v>
      </c>
      <c r="BX52">
        <f>BX42*Foglio1!$D$5/(EXP(Foglio1!$C18-Foglio1!$D18/(Foglio1!$E18+Foglio2!BX$33)))</f>
        <v>0</v>
      </c>
      <c r="BY52">
        <f>BY42*Foglio1!$D$5/(EXP(Foglio1!$C18-Foglio1!$D18/(Foglio1!$E18+Foglio2!BY$33)))</f>
        <v>0</v>
      </c>
      <c r="BZ52">
        <f>BZ42*Foglio1!$D$5/(EXP(Foglio1!$C18-Foglio1!$D18/(Foglio1!$E18+Foglio2!BZ$33)))</f>
        <v>0</v>
      </c>
      <c r="CA52">
        <f>CA42*Foglio1!$D$5/(EXP(Foglio1!$C18-Foglio1!$D18/(Foglio1!$E18+Foglio2!CA$33)))</f>
        <v>0</v>
      </c>
      <c r="CB52">
        <f>CB42*Foglio1!$D$5/(EXP(Foglio1!$C18-Foglio1!$D18/(Foglio1!$E18+Foglio2!CB$33)))</f>
        <v>0</v>
      </c>
      <c r="CC52">
        <f>CC42*Foglio1!$D$5/(EXP(Foglio1!$C18-Foglio1!$D18/(Foglio1!$E18+Foglio2!CC$33)))</f>
        <v>0</v>
      </c>
      <c r="CD52">
        <f>CD42*Foglio1!$D$5/(EXP(Foglio1!$C18-Foglio1!$D18/(Foglio1!$E18+Foglio2!CD$33)))</f>
        <v>0</v>
      </c>
      <c r="CE52">
        <f>CE42*Foglio1!$D$5/(EXP(Foglio1!$C18-Foglio1!$D18/(Foglio1!$E18+Foglio2!CE$33)))</f>
        <v>0</v>
      </c>
      <c r="CF52">
        <f>CF42*Foglio1!$D$5/(EXP(Foglio1!$C18-Foglio1!$D18/(Foglio1!$E18+Foglio2!CF$33)))</f>
        <v>0</v>
      </c>
    </row>
    <row r="53" spans="34:84" x14ac:dyDescent="0.25">
      <c r="AH53" t="s">
        <v>65</v>
      </c>
      <c r="AI53">
        <f>AI43*Foglio1!$D$5/(EXP(Foglio1!$C19-Foglio1!$D19/(Foglio1!$E19+Foglio2!AI$33)))</f>
        <v>0</v>
      </c>
      <c r="AJ53">
        <f>AJ43*Foglio1!$D$5/(EXP(Foglio1!$C19-Foglio1!$D19/(Foglio1!$E19+Foglio2!AJ$33)))</f>
        <v>0</v>
      </c>
      <c r="AK53">
        <f>AK43*Foglio1!$D$5/(EXP(Foglio1!$C19-Foglio1!$D19/(Foglio1!$E19+Foglio2!AK$33)))</f>
        <v>0</v>
      </c>
      <c r="AL53">
        <f>AL43*Foglio1!$D$5/(EXP(Foglio1!$C19-Foglio1!$D19/(Foglio1!$E19+Foglio2!AL$33)))</f>
        <v>0</v>
      </c>
      <c r="AM53">
        <f>AM43*Foglio1!$D$5/(EXP(Foglio1!$C19-Foglio1!$D19/(Foglio1!$E19+Foglio2!AM$33)))</f>
        <v>0</v>
      </c>
      <c r="AN53">
        <f>AN43*Foglio1!$D$5/(EXP(Foglio1!$C19-Foglio1!$D19/(Foglio1!$E19+Foglio2!AN$33)))</f>
        <v>0</v>
      </c>
      <c r="AO53">
        <f>AO43*Foglio1!$D$5/(EXP(Foglio1!$C19-Foglio1!$D19/(Foglio1!$E19+Foglio2!AO$33)))</f>
        <v>0</v>
      </c>
      <c r="AP53">
        <f>AP43*Foglio1!$D$5/(EXP(Foglio1!$C19-Foglio1!$D19/(Foglio1!$E19+Foglio2!AP$33)))</f>
        <v>0</v>
      </c>
      <c r="AQ53">
        <f>AQ43*Foglio1!$D$5/(EXP(Foglio1!$C19-Foglio1!$D19/(Foglio1!$E19+Foglio2!AQ$33)))</f>
        <v>0</v>
      </c>
      <c r="AR53">
        <f>AR43*Foglio1!$D$5/(EXP(Foglio1!$C19-Foglio1!$D19/(Foglio1!$E19+Foglio2!AR$33)))</f>
        <v>0</v>
      </c>
      <c r="AS53">
        <f>AS43*Foglio1!$D$5/(EXP(Foglio1!$C19-Foglio1!$D19/(Foglio1!$E19+Foglio2!AS$33)))</f>
        <v>0</v>
      </c>
      <c r="AT53">
        <f>AT43*Foglio1!$D$5/(EXP(Foglio1!$C19-Foglio1!$D19/(Foglio1!$E19+Foglio2!AT$33)))</f>
        <v>0</v>
      </c>
      <c r="AU53">
        <f>AU43*Foglio1!$D$5/(EXP(Foglio1!$C19-Foglio1!$D19/(Foglio1!$E19+Foglio2!AU$33)))</f>
        <v>0</v>
      </c>
      <c r="AV53">
        <f>AV43*Foglio1!$D$5/(EXP(Foglio1!$C19-Foglio1!$D19/(Foglio1!$E19+Foglio2!AV$33)))</f>
        <v>0</v>
      </c>
      <c r="AW53">
        <f>AW43*Foglio1!$D$5/(EXP(Foglio1!$C19-Foglio1!$D19/(Foglio1!$E19+Foglio2!AW$33)))</f>
        <v>0</v>
      </c>
      <c r="AX53">
        <f>AX43*Foglio1!$D$5/(EXP(Foglio1!$C19-Foglio1!$D19/(Foglio1!$E19+Foglio2!AX$33)))</f>
        <v>0</v>
      </c>
      <c r="AY53">
        <f>AY43*Foglio1!$D$5/(EXP(Foglio1!$C19-Foglio1!$D19/(Foglio1!$E19+Foglio2!AY$33)))</f>
        <v>0</v>
      </c>
      <c r="AZ53">
        <f>AZ43*Foglio1!$D$5/(EXP(Foglio1!$C19-Foglio1!$D19/(Foglio1!$E19+Foglio2!AZ$33)))</f>
        <v>0</v>
      </c>
      <c r="BA53">
        <f>BA43*Foglio1!$D$5/(EXP(Foglio1!$C19-Foglio1!$D19/(Foglio1!$E19+Foglio2!BA$33)))</f>
        <v>0</v>
      </c>
      <c r="BB53">
        <f>BB43*Foglio1!$D$5/(EXP(Foglio1!$C19-Foglio1!$D19/(Foglio1!$E19+Foglio2!BB$33)))</f>
        <v>0</v>
      </c>
      <c r="BC53">
        <f>BC43*Foglio1!$D$5/(EXP(Foglio1!$C19-Foglio1!$D19/(Foglio1!$E19+Foglio2!BC$33)))</f>
        <v>0</v>
      </c>
      <c r="BD53">
        <f>BD43*Foglio1!$D$5/(EXP(Foglio1!$C19-Foglio1!$D19/(Foglio1!$E19+Foglio2!BD$33)))</f>
        <v>0</v>
      </c>
      <c r="BE53">
        <f>BE43*Foglio1!$D$5/(EXP(Foglio1!$C19-Foglio1!$D19/(Foglio1!$E19+Foglio2!BE$33)))</f>
        <v>0</v>
      </c>
      <c r="BF53">
        <f>BF43*Foglio1!$D$5/(EXP(Foglio1!$C19-Foglio1!$D19/(Foglio1!$E19+Foglio2!BF$33)))</f>
        <v>0</v>
      </c>
      <c r="BG53">
        <f>BG43*Foglio1!$D$5/(EXP(Foglio1!$C19-Foglio1!$D19/(Foglio1!$E19+Foglio2!BG$33)))</f>
        <v>0</v>
      </c>
      <c r="BH53">
        <f>BH43*Foglio1!$D$5/(EXP(Foglio1!$C19-Foglio1!$D19/(Foglio1!$E19+Foglio2!BH$33)))</f>
        <v>0</v>
      </c>
      <c r="BI53">
        <f>BI43*Foglio1!$D$5/(EXP(Foglio1!$C19-Foglio1!$D19/(Foglio1!$E19+Foglio2!BI$33)))</f>
        <v>0</v>
      </c>
      <c r="BJ53">
        <f>BJ43*Foglio1!$D$5/(EXP(Foglio1!$C19-Foglio1!$D19/(Foglio1!$E19+Foglio2!BJ$33)))</f>
        <v>0</v>
      </c>
      <c r="BK53">
        <f>BK43*Foglio1!$D$5/(EXP(Foglio1!$C19-Foglio1!$D19/(Foglio1!$E19+Foglio2!BK$33)))</f>
        <v>0</v>
      </c>
      <c r="BL53">
        <f>BL43*Foglio1!$D$5/(EXP(Foglio1!$C19-Foglio1!$D19/(Foglio1!$E19+Foglio2!BL$33)))</f>
        <v>0</v>
      </c>
      <c r="BM53">
        <f>BM43*Foglio1!$D$5/(EXP(Foglio1!$C19-Foglio1!$D19/(Foglio1!$E19+Foglio2!BM$33)))</f>
        <v>0</v>
      </c>
      <c r="BN53">
        <f>BN43*Foglio1!$D$5/(EXP(Foglio1!$C19-Foglio1!$D19/(Foglio1!$E19+Foglio2!BN$33)))</f>
        <v>0</v>
      </c>
      <c r="BO53">
        <f>BO43*Foglio1!$D$5/(EXP(Foglio1!$C19-Foglio1!$D19/(Foglio1!$E19+Foglio2!BO$33)))</f>
        <v>0</v>
      </c>
      <c r="BP53">
        <f>BP43*Foglio1!$D$5/(EXP(Foglio1!$C19-Foglio1!$D19/(Foglio1!$E19+Foglio2!BP$33)))</f>
        <v>0</v>
      </c>
      <c r="BQ53">
        <f>BQ43*Foglio1!$D$5/(EXP(Foglio1!$C19-Foglio1!$D19/(Foglio1!$E19+Foglio2!BQ$33)))</f>
        <v>0</v>
      </c>
      <c r="BR53">
        <f>BR43*Foglio1!$D$5/(EXP(Foglio1!$C19-Foglio1!$D19/(Foglio1!$E19+Foglio2!BR$33)))</f>
        <v>0</v>
      </c>
      <c r="BS53">
        <f>BS43*Foglio1!$D$5/(EXP(Foglio1!$C19-Foglio1!$D19/(Foglio1!$E19+Foglio2!BS$33)))</f>
        <v>0</v>
      </c>
      <c r="BT53">
        <f>BT43*Foglio1!$D$5/(EXP(Foglio1!$C19-Foglio1!$D19/(Foglio1!$E19+Foglio2!BT$33)))</f>
        <v>0</v>
      </c>
      <c r="BU53">
        <f>BU43*Foglio1!$D$5/(EXP(Foglio1!$C19-Foglio1!$D19/(Foglio1!$E19+Foglio2!BU$33)))</f>
        <v>0</v>
      </c>
      <c r="BV53">
        <f>BV43*Foglio1!$D$5/(EXP(Foglio1!$C19-Foglio1!$D19/(Foglio1!$E19+Foglio2!BV$33)))</f>
        <v>0</v>
      </c>
      <c r="BW53">
        <f>BW43*Foglio1!$D$5/(EXP(Foglio1!$C19-Foglio1!$D19/(Foglio1!$E19+Foglio2!BW$33)))</f>
        <v>0</v>
      </c>
      <c r="BX53">
        <f>BX43*Foglio1!$D$5/(EXP(Foglio1!$C19-Foglio1!$D19/(Foglio1!$E19+Foglio2!BX$33)))</f>
        <v>0</v>
      </c>
      <c r="BY53">
        <f>BY43*Foglio1!$D$5/(EXP(Foglio1!$C19-Foglio1!$D19/(Foglio1!$E19+Foglio2!BY$33)))</f>
        <v>0</v>
      </c>
      <c r="BZ53">
        <f>BZ43*Foglio1!$D$5/(EXP(Foglio1!$C19-Foglio1!$D19/(Foglio1!$E19+Foglio2!BZ$33)))</f>
        <v>0</v>
      </c>
      <c r="CA53">
        <f>CA43*Foglio1!$D$5/(EXP(Foglio1!$C19-Foglio1!$D19/(Foglio1!$E19+Foglio2!CA$33)))</f>
        <v>0</v>
      </c>
      <c r="CB53">
        <f>CB43*Foglio1!$D$5/(EXP(Foglio1!$C19-Foglio1!$D19/(Foglio1!$E19+Foglio2!CB$33)))</f>
        <v>0</v>
      </c>
      <c r="CC53">
        <f>CC43*Foglio1!$D$5/(EXP(Foglio1!$C19-Foglio1!$D19/(Foglio1!$E19+Foglio2!CC$33)))</f>
        <v>0</v>
      </c>
      <c r="CD53">
        <f>CD43*Foglio1!$D$5/(EXP(Foglio1!$C19-Foglio1!$D19/(Foglio1!$E19+Foglio2!CD$33)))</f>
        <v>0</v>
      </c>
      <c r="CE53">
        <f>CE43*Foglio1!$D$5/(EXP(Foglio1!$C19-Foglio1!$D19/(Foglio1!$E19+Foglio2!CE$33)))</f>
        <v>0</v>
      </c>
      <c r="CF53">
        <f>CF43*Foglio1!$D$5/(EXP(Foglio1!$C19-Foglio1!$D19/(Foglio1!$E19+Foglio2!CF$33)))</f>
        <v>0</v>
      </c>
    </row>
    <row r="54" spans="34:84" x14ac:dyDescent="0.25">
      <c r="AH54" t="s">
        <v>76</v>
      </c>
      <c r="AI54">
        <f>SUM(AI44:AI53)</f>
        <v>0.39603884767813902</v>
      </c>
      <c r="AJ54">
        <f>SUM(AJ44:AJ53)</f>
        <v>1.2791136755382697</v>
      </c>
      <c r="AK54">
        <f t="shared" ref="AK54:CF54" si="28">SUM(AK44:AK53)</f>
        <v>0.67495059118797518</v>
      </c>
      <c r="AL54">
        <f t="shared" si="28"/>
        <v>0.91517639627398595</v>
      </c>
      <c r="AM54">
        <f t="shared" si="28"/>
        <v>1.0775564754761855</v>
      </c>
      <c r="AN54">
        <f t="shared" si="28"/>
        <v>0.99207993516196957</v>
      </c>
      <c r="AO54">
        <f t="shared" si="28"/>
        <v>1.0336772968361752</v>
      </c>
      <c r="AP54">
        <f t="shared" si="28"/>
        <v>1.0126024495392074</v>
      </c>
      <c r="AQ54">
        <f t="shared" si="28"/>
        <v>1.0022732469854823</v>
      </c>
      <c r="AR54">
        <f t="shared" si="28"/>
        <v>0.9971597395634022</v>
      </c>
      <c r="AS54">
        <f t="shared" si="28"/>
        <v>0.99971226363989318</v>
      </c>
      <c r="AT54">
        <f t="shared" si="28"/>
        <v>1.0009916958009915</v>
      </c>
      <c r="AU54">
        <f t="shared" si="28"/>
        <v>1.0003517151057784</v>
      </c>
      <c r="AV54">
        <f t="shared" si="28"/>
        <v>1.0000319232520438</v>
      </c>
      <c r="AW54">
        <f t="shared" si="28"/>
        <v>0.99987207691987789</v>
      </c>
      <c r="AX54">
        <f t="shared" si="28"/>
        <v>0.99995199595392481</v>
      </c>
      <c r="AY54">
        <f t="shared" si="28"/>
        <v>0.99999195856991185</v>
      </c>
      <c r="AZ54">
        <f t="shared" si="28"/>
        <v>1.0000119406527015</v>
      </c>
      <c r="BA54">
        <f t="shared" si="28"/>
        <v>1.000001949546738</v>
      </c>
      <c r="BB54">
        <f t="shared" si="28"/>
        <v>0.99999695404218225</v>
      </c>
      <c r="BC54">
        <f t="shared" si="28"/>
        <v>0.9999994517904246</v>
      </c>
      <c r="BD54">
        <f t="shared" si="28"/>
        <v>1.0000007006675731</v>
      </c>
      <c r="BE54">
        <f t="shared" si="28"/>
        <v>1.0000000762287464</v>
      </c>
      <c r="BF54">
        <f t="shared" si="28"/>
        <v>0.99999976400952284</v>
      </c>
      <c r="BG54">
        <f t="shared" si="28"/>
        <v>0.99999992011911942</v>
      </c>
      <c r="BH54">
        <f t="shared" si="28"/>
        <v>0.99999999817392837</v>
      </c>
      <c r="BI54">
        <f t="shared" si="28"/>
        <v>1.0000000372013376</v>
      </c>
      <c r="BJ54">
        <f t="shared" si="28"/>
        <v>1.000000017687632</v>
      </c>
      <c r="BK54">
        <f t="shared" si="28"/>
        <v>1.0000000079307809</v>
      </c>
      <c r="BL54">
        <f t="shared" si="28"/>
        <v>1.0000000030523546</v>
      </c>
      <c r="BM54">
        <f t="shared" si="28"/>
        <v>1.0000000006131406</v>
      </c>
      <c r="BN54">
        <f t="shared" si="28"/>
        <v>0.9999999993935349</v>
      </c>
      <c r="BO54">
        <f t="shared" si="28"/>
        <v>1.000000000003338</v>
      </c>
      <c r="BP54">
        <f t="shared" si="28"/>
        <v>0.99999999969843867</v>
      </c>
      <c r="BQ54">
        <f t="shared" si="28"/>
        <v>0.99999999985088917</v>
      </c>
      <c r="BR54">
        <f t="shared" si="28"/>
        <v>0.99999999992711419</v>
      </c>
      <c r="BS54">
        <f t="shared" si="28"/>
        <v>0.99999999996522648</v>
      </c>
      <c r="BT54">
        <f t="shared" si="28"/>
        <v>0.99999999998428268</v>
      </c>
      <c r="BU54">
        <f t="shared" si="28"/>
        <v>0.99999999999380906</v>
      </c>
      <c r="BV54">
        <f t="shared" si="28"/>
        <v>0.99999999999857458</v>
      </c>
      <c r="BW54">
        <f t="shared" si="28"/>
        <v>1.0000000000009575</v>
      </c>
      <c r="BX54">
        <f t="shared" si="28"/>
        <v>0.99999999999976652</v>
      </c>
      <c r="BY54">
        <f t="shared" si="28"/>
        <v>1.0000000000003619</v>
      </c>
      <c r="BZ54">
        <f t="shared" si="28"/>
        <v>1.0000000000000642</v>
      </c>
      <c r="CA54">
        <f t="shared" si="28"/>
        <v>0.99999999999991396</v>
      </c>
      <c r="CB54">
        <f t="shared" si="28"/>
        <v>0.99999999999998868</v>
      </c>
      <c r="CC54">
        <f t="shared" si="28"/>
        <v>1.000000000000026</v>
      </c>
      <c r="CD54">
        <f t="shared" si="28"/>
        <v>1.0000000000000082</v>
      </c>
      <c r="CE54">
        <f t="shared" si="28"/>
        <v>0.999999999999998</v>
      </c>
      <c r="CF54">
        <f t="shared" si="28"/>
        <v>1.0000000000000033</v>
      </c>
    </row>
    <row r="56" spans="34:84" x14ac:dyDescent="0.25">
      <c r="AH56" s="184" t="s">
        <v>193</v>
      </c>
      <c r="AI56" s="184"/>
      <c r="AJ56" s="184"/>
      <c r="AK56" s="184"/>
      <c r="AL56" s="184"/>
      <c r="AM56" s="184"/>
      <c r="AN56" s="184"/>
      <c r="AO56" s="184"/>
      <c r="AP56" s="184"/>
    </row>
    <row r="57" spans="34:84" x14ac:dyDescent="0.25">
      <c r="AH57" s="184"/>
      <c r="AI57" s="184"/>
      <c r="AJ57" s="184"/>
      <c r="AK57" s="184"/>
      <c r="AL57" s="184"/>
      <c r="AM57" s="184"/>
      <c r="AN57" s="184"/>
      <c r="AO57" s="184"/>
      <c r="AP57" s="184"/>
    </row>
    <row r="58" spans="34:84" x14ac:dyDescent="0.25">
      <c r="AI58">
        <v>1</v>
      </c>
      <c r="AJ58">
        <v>2</v>
      </c>
      <c r="AK58">
        <v>3</v>
      </c>
      <c r="AL58">
        <v>4</v>
      </c>
      <c r="AM58">
        <v>5</v>
      </c>
      <c r="AN58">
        <v>6</v>
      </c>
      <c r="AO58">
        <v>7</v>
      </c>
      <c r="AP58">
        <v>8</v>
      </c>
      <c r="AQ58">
        <v>9</v>
      </c>
      <c r="AR58">
        <v>10</v>
      </c>
      <c r="AS58">
        <v>11</v>
      </c>
      <c r="AT58">
        <v>12</v>
      </c>
      <c r="AU58">
        <v>13</v>
      </c>
      <c r="AV58">
        <v>14</v>
      </c>
      <c r="AW58">
        <v>15</v>
      </c>
      <c r="AX58">
        <v>16</v>
      </c>
      <c r="AY58">
        <v>17</v>
      </c>
      <c r="AZ58">
        <v>18</v>
      </c>
      <c r="BA58">
        <v>19</v>
      </c>
      <c r="BB58">
        <v>20</v>
      </c>
      <c r="BC58">
        <v>21</v>
      </c>
      <c r="BD58">
        <v>22</v>
      </c>
      <c r="BE58">
        <v>23</v>
      </c>
      <c r="BF58">
        <v>24</v>
      </c>
      <c r="BG58">
        <v>25</v>
      </c>
      <c r="BH58">
        <v>26</v>
      </c>
      <c r="BI58">
        <v>27</v>
      </c>
      <c r="BJ58">
        <v>28</v>
      </c>
      <c r="BK58">
        <v>29</v>
      </c>
      <c r="BL58">
        <v>30</v>
      </c>
      <c r="BM58">
        <v>31</v>
      </c>
      <c r="BN58">
        <v>32</v>
      </c>
      <c r="BO58">
        <v>33</v>
      </c>
      <c r="BP58">
        <v>34</v>
      </c>
      <c r="BQ58">
        <v>35</v>
      </c>
      <c r="BR58">
        <v>36</v>
      </c>
      <c r="BS58">
        <v>37</v>
      </c>
      <c r="BT58">
        <v>38</v>
      </c>
      <c r="BU58">
        <v>39</v>
      </c>
      <c r="BV58">
        <v>40</v>
      </c>
      <c r="BW58">
        <v>41</v>
      </c>
      <c r="BX58">
        <v>42</v>
      </c>
      <c r="BY58">
        <v>43</v>
      </c>
      <c r="BZ58">
        <v>44</v>
      </c>
      <c r="CA58">
        <v>45</v>
      </c>
      <c r="CB58">
        <v>46</v>
      </c>
      <c r="CC58">
        <v>47</v>
      </c>
      <c r="CD58">
        <v>48</v>
      </c>
      <c r="CE58">
        <v>49</v>
      </c>
      <c r="CF58">
        <v>50</v>
      </c>
    </row>
    <row r="59" spans="34:84" x14ac:dyDescent="0.25">
      <c r="AH59" t="s">
        <v>53</v>
      </c>
      <c r="AI59">
        <f>MAX(Foglio1!$F$10:$F$19)*2</f>
        <v>233.3720572771723</v>
      </c>
      <c r="AJ59">
        <f>IF(AI82&gt;1,AI61,AI59)</f>
        <v>116.68602863858615</v>
      </c>
      <c r="AK59">
        <f t="shared" ref="AK59:BR59" si="29">IF(AJ82&gt;1,AJ61,AJ59)</f>
        <v>116.68602863858615</v>
      </c>
      <c r="AL59">
        <f t="shared" si="29"/>
        <v>116.68602863858615</v>
      </c>
      <c r="AM59">
        <f t="shared" si="29"/>
        <v>116.68602863858615</v>
      </c>
      <c r="AN59">
        <f t="shared" si="29"/>
        <v>116.68602863858615</v>
      </c>
      <c r="AO59">
        <f t="shared" si="29"/>
        <v>113.03959024363033</v>
      </c>
      <c r="AP59">
        <f t="shared" si="29"/>
        <v>113.03959024363033</v>
      </c>
      <c r="AQ59">
        <f t="shared" si="29"/>
        <v>113.03959024363033</v>
      </c>
      <c r="AR59">
        <f t="shared" si="29"/>
        <v>112.58378544426085</v>
      </c>
      <c r="AS59">
        <f t="shared" si="29"/>
        <v>112.35588304457612</v>
      </c>
      <c r="AT59">
        <f t="shared" si="29"/>
        <v>112.35588304457612</v>
      </c>
      <c r="AU59">
        <f t="shared" si="29"/>
        <v>112.35588304457612</v>
      </c>
      <c r="AV59">
        <f t="shared" si="29"/>
        <v>112.35588304457612</v>
      </c>
      <c r="AW59">
        <f t="shared" si="29"/>
        <v>112.34163914459583</v>
      </c>
      <c r="AX59">
        <f t="shared" si="29"/>
        <v>112.33451719460568</v>
      </c>
      <c r="AY59">
        <f t="shared" si="29"/>
        <v>112.33451719460568</v>
      </c>
      <c r="AZ59">
        <f t="shared" si="29"/>
        <v>112.33451719460568</v>
      </c>
      <c r="BA59">
        <f t="shared" si="29"/>
        <v>112.33451719460568</v>
      </c>
      <c r="BB59">
        <f t="shared" si="29"/>
        <v>112.33451719460568</v>
      </c>
      <c r="BC59">
        <f t="shared" si="29"/>
        <v>112.33451719460568</v>
      </c>
      <c r="BD59">
        <f t="shared" si="29"/>
        <v>112.33440591413708</v>
      </c>
      <c r="BE59">
        <f t="shared" si="29"/>
        <v>112.33440591413708</v>
      </c>
      <c r="BF59">
        <f t="shared" si="29"/>
        <v>112.33440591413708</v>
      </c>
      <c r="BG59">
        <f t="shared" si="29"/>
        <v>112.33439200407851</v>
      </c>
      <c r="BH59">
        <f t="shared" si="29"/>
        <v>112.33439200407851</v>
      </c>
      <c r="BI59">
        <f t="shared" si="29"/>
        <v>112.33438852656386</v>
      </c>
      <c r="BJ59">
        <f t="shared" si="29"/>
        <v>112.33438852656386</v>
      </c>
      <c r="BK59">
        <f t="shared" si="29"/>
        <v>112.33438852656386</v>
      </c>
      <c r="BL59">
        <f t="shared" si="29"/>
        <v>112.33438809187453</v>
      </c>
      <c r="BM59">
        <f t="shared" si="29"/>
        <v>112.33438787452987</v>
      </c>
      <c r="BN59">
        <f t="shared" si="29"/>
        <v>112.33438776585754</v>
      </c>
      <c r="BO59">
        <f t="shared" si="29"/>
        <v>112.33438771152137</v>
      </c>
      <c r="BP59">
        <f t="shared" si="29"/>
        <v>112.33438771152137</v>
      </c>
      <c r="BQ59">
        <f t="shared" si="29"/>
        <v>112.33438771152137</v>
      </c>
      <c r="BR59">
        <f t="shared" si="29"/>
        <v>112.33438770472935</v>
      </c>
      <c r="BS59">
        <f>IF(BR82&gt;1,BR61,BR59)</f>
        <v>112.33438770472935</v>
      </c>
      <c r="BT59">
        <f t="shared" ref="BT59:CF59" si="30">IF(BS82&gt;1,BS61,BS59)</f>
        <v>112.33438770472935</v>
      </c>
      <c r="BU59">
        <f t="shared" si="30"/>
        <v>112.33438770388035</v>
      </c>
      <c r="BV59">
        <f t="shared" si="30"/>
        <v>112.33438770345586</v>
      </c>
      <c r="BW59">
        <f t="shared" si="30"/>
        <v>112.33438770324361</v>
      </c>
      <c r="BX59">
        <f t="shared" si="30"/>
        <v>112.33438770324361</v>
      </c>
      <c r="BY59">
        <f t="shared" si="30"/>
        <v>112.33438770319054</v>
      </c>
      <c r="BZ59">
        <f t="shared" si="30"/>
        <v>112.33438770316401</v>
      </c>
      <c r="CA59">
        <f t="shared" si="30"/>
        <v>112.33438770315075</v>
      </c>
      <c r="CB59">
        <f t="shared" si="30"/>
        <v>112.33438770314412</v>
      </c>
      <c r="CC59">
        <f t="shared" si="30"/>
        <v>112.33438770314412</v>
      </c>
      <c r="CD59">
        <f t="shared" si="30"/>
        <v>112.33438770314412</v>
      </c>
      <c r="CE59">
        <f t="shared" si="30"/>
        <v>112.33438770314328</v>
      </c>
      <c r="CF59">
        <f t="shared" si="30"/>
        <v>112.33438770314328</v>
      </c>
    </row>
    <row r="60" spans="34:84" x14ac:dyDescent="0.25">
      <c r="AH60" t="s">
        <v>54</v>
      </c>
      <c r="AI60">
        <f>MIN(Foglio1!$F$10:$F$19)</f>
        <v>0</v>
      </c>
      <c r="AJ60">
        <f>IF(AI82&gt;1,AI60,AI61)</f>
        <v>0</v>
      </c>
      <c r="AK60">
        <f t="shared" ref="AK60:BR60" si="31">IF(AJ82&gt;1,AJ60,AJ61)</f>
        <v>58.343014319293076</v>
      </c>
      <c r="AL60">
        <f t="shared" si="31"/>
        <v>87.514521478939614</v>
      </c>
      <c r="AM60">
        <f t="shared" si="31"/>
        <v>102.10027505876289</v>
      </c>
      <c r="AN60">
        <f t="shared" si="31"/>
        <v>109.39315184867452</v>
      </c>
      <c r="AO60">
        <f t="shared" si="31"/>
        <v>109.39315184867452</v>
      </c>
      <c r="AP60">
        <f t="shared" si="31"/>
        <v>111.21637104615243</v>
      </c>
      <c r="AQ60">
        <f t="shared" si="31"/>
        <v>112.12798064489138</v>
      </c>
      <c r="AR60">
        <f t="shared" si="31"/>
        <v>112.12798064489138</v>
      </c>
      <c r="AS60">
        <f t="shared" si="31"/>
        <v>112.12798064489138</v>
      </c>
      <c r="AT60">
        <f t="shared" si="31"/>
        <v>112.24193184473376</v>
      </c>
      <c r="AU60">
        <f t="shared" si="31"/>
        <v>112.29890744465493</v>
      </c>
      <c r="AV60">
        <f t="shared" si="31"/>
        <v>112.32739524461553</v>
      </c>
      <c r="AW60">
        <f t="shared" si="31"/>
        <v>112.32739524461553</v>
      </c>
      <c r="AX60">
        <f t="shared" si="31"/>
        <v>112.32739524461553</v>
      </c>
      <c r="AY60">
        <f t="shared" si="31"/>
        <v>112.33095621961061</v>
      </c>
      <c r="AZ60">
        <f t="shared" si="31"/>
        <v>112.33273670710815</v>
      </c>
      <c r="BA60">
        <f t="shared" si="31"/>
        <v>112.33362695085691</v>
      </c>
      <c r="BB60">
        <f t="shared" si="31"/>
        <v>112.33407207273129</v>
      </c>
      <c r="BC60">
        <f t="shared" si="31"/>
        <v>112.33429463366849</v>
      </c>
      <c r="BD60">
        <f t="shared" si="31"/>
        <v>112.33429463366849</v>
      </c>
      <c r="BE60">
        <f t="shared" si="31"/>
        <v>112.33435027390279</v>
      </c>
      <c r="BF60">
        <f t="shared" si="31"/>
        <v>112.33437809401994</v>
      </c>
      <c r="BG60">
        <f t="shared" si="31"/>
        <v>112.33437809401994</v>
      </c>
      <c r="BH60">
        <f t="shared" si="31"/>
        <v>112.33438504904922</v>
      </c>
      <c r="BI60">
        <f t="shared" si="31"/>
        <v>112.33438504904922</v>
      </c>
      <c r="BJ60">
        <f t="shared" si="31"/>
        <v>112.33438678780654</v>
      </c>
      <c r="BK60">
        <f t="shared" si="31"/>
        <v>112.3343876571852</v>
      </c>
      <c r="BL60">
        <f t="shared" si="31"/>
        <v>112.3343876571852</v>
      </c>
      <c r="BM60">
        <f t="shared" si="31"/>
        <v>112.3343876571852</v>
      </c>
      <c r="BN60">
        <f t="shared" si="31"/>
        <v>112.3343876571852</v>
      </c>
      <c r="BO60">
        <f t="shared" si="31"/>
        <v>112.3343876571852</v>
      </c>
      <c r="BP60">
        <f t="shared" si="31"/>
        <v>112.33438768435329</v>
      </c>
      <c r="BQ60">
        <f t="shared" si="31"/>
        <v>112.33438769793733</v>
      </c>
      <c r="BR60">
        <f t="shared" si="31"/>
        <v>112.33438769793733</v>
      </c>
      <c r="BS60">
        <f>IF(BR82&gt;1,BR60,BR61)</f>
        <v>112.33438770133334</v>
      </c>
      <c r="BT60">
        <f t="shared" ref="BT60:CF60" si="32">IF(BS82&gt;1,BS60,BS61)</f>
        <v>112.33438770303135</v>
      </c>
      <c r="BU60">
        <f t="shared" si="32"/>
        <v>112.33438770303135</v>
      </c>
      <c r="BV60">
        <f t="shared" si="32"/>
        <v>112.33438770303135</v>
      </c>
      <c r="BW60">
        <f t="shared" si="32"/>
        <v>112.33438770303135</v>
      </c>
      <c r="BX60">
        <f t="shared" si="32"/>
        <v>112.33438770313748</v>
      </c>
      <c r="BY60">
        <f t="shared" si="32"/>
        <v>112.33438770313748</v>
      </c>
      <c r="BZ60">
        <f t="shared" si="32"/>
        <v>112.33438770313748</v>
      </c>
      <c r="CA60">
        <f t="shared" si="32"/>
        <v>112.33438770313748</v>
      </c>
      <c r="CB60">
        <f t="shared" si="32"/>
        <v>112.33438770313748</v>
      </c>
      <c r="CC60">
        <f t="shared" si="32"/>
        <v>112.33438770314081</v>
      </c>
      <c r="CD60">
        <f t="shared" si="32"/>
        <v>112.33438770314245</v>
      </c>
      <c r="CE60">
        <f t="shared" si="32"/>
        <v>112.33438770314245</v>
      </c>
      <c r="CF60">
        <f t="shared" si="32"/>
        <v>112.33438770314287</v>
      </c>
    </row>
    <row r="61" spans="34:84" x14ac:dyDescent="0.25">
      <c r="AH61" t="s">
        <v>55</v>
      </c>
      <c r="AI61">
        <f>(AI59+AI60)/2</f>
        <v>116.68602863858615</v>
      </c>
      <c r="AJ61">
        <f>(AJ59+AJ60)/2</f>
        <v>58.343014319293076</v>
      </c>
      <c r="AK61">
        <f t="shared" ref="AK61:BR61" si="33">(AK59+AK60)/2</f>
        <v>87.514521478939614</v>
      </c>
      <c r="AL61">
        <f t="shared" si="33"/>
        <v>102.10027505876289</v>
      </c>
      <c r="AM61">
        <f t="shared" si="33"/>
        <v>109.39315184867452</v>
      </c>
      <c r="AN61">
        <f t="shared" si="33"/>
        <v>113.03959024363033</v>
      </c>
      <c r="AO61">
        <f t="shared" si="33"/>
        <v>111.21637104615243</v>
      </c>
      <c r="AP61">
        <f t="shared" si="33"/>
        <v>112.12798064489138</v>
      </c>
      <c r="AQ61">
        <f t="shared" si="33"/>
        <v>112.58378544426085</v>
      </c>
      <c r="AR61">
        <f t="shared" si="33"/>
        <v>112.35588304457612</v>
      </c>
      <c r="AS61">
        <f t="shared" si="33"/>
        <v>112.24193184473376</v>
      </c>
      <c r="AT61">
        <f t="shared" si="33"/>
        <v>112.29890744465493</v>
      </c>
      <c r="AU61">
        <f t="shared" si="33"/>
        <v>112.32739524461553</v>
      </c>
      <c r="AV61">
        <f t="shared" si="33"/>
        <v>112.34163914459583</v>
      </c>
      <c r="AW61">
        <f t="shared" si="33"/>
        <v>112.33451719460568</v>
      </c>
      <c r="AX61">
        <f t="shared" si="33"/>
        <v>112.33095621961061</v>
      </c>
      <c r="AY61">
        <f t="shared" si="33"/>
        <v>112.33273670710815</v>
      </c>
      <c r="AZ61">
        <f t="shared" si="33"/>
        <v>112.33362695085691</v>
      </c>
      <c r="BA61">
        <f t="shared" si="33"/>
        <v>112.33407207273129</v>
      </c>
      <c r="BB61">
        <f t="shared" si="33"/>
        <v>112.33429463366849</v>
      </c>
      <c r="BC61">
        <f t="shared" si="33"/>
        <v>112.33440591413708</v>
      </c>
      <c r="BD61">
        <f t="shared" si="33"/>
        <v>112.33435027390279</v>
      </c>
      <c r="BE61">
        <f t="shared" si="33"/>
        <v>112.33437809401994</v>
      </c>
      <c r="BF61">
        <f t="shared" si="33"/>
        <v>112.33439200407851</v>
      </c>
      <c r="BG61">
        <f t="shared" si="33"/>
        <v>112.33438504904922</v>
      </c>
      <c r="BH61">
        <f t="shared" si="33"/>
        <v>112.33438852656386</v>
      </c>
      <c r="BI61">
        <f t="shared" si="33"/>
        <v>112.33438678780654</v>
      </c>
      <c r="BJ61">
        <f t="shared" si="33"/>
        <v>112.3343876571852</v>
      </c>
      <c r="BK61">
        <f t="shared" si="33"/>
        <v>112.33438809187453</v>
      </c>
      <c r="BL61">
        <f t="shared" si="33"/>
        <v>112.33438787452987</v>
      </c>
      <c r="BM61">
        <f t="shared" si="33"/>
        <v>112.33438776585754</v>
      </c>
      <c r="BN61">
        <f t="shared" si="33"/>
        <v>112.33438771152137</v>
      </c>
      <c r="BO61">
        <f t="shared" si="33"/>
        <v>112.33438768435329</v>
      </c>
      <c r="BP61">
        <f t="shared" si="33"/>
        <v>112.33438769793733</v>
      </c>
      <c r="BQ61">
        <f t="shared" si="33"/>
        <v>112.33438770472935</v>
      </c>
      <c r="BR61">
        <f t="shared" si="33"/>
        <v>112.33438770133334</v>
      </c>
      <c r="BS61">
        <f t="shared" ref="BS61:CF61" si="34">(BS59+BS60)/2</f>
        <v>112.33438770303135</v>
      </c>
      <c r="BT61">
        <f t="shared" si="34"/>
        <v>112.33438770388035</v>
      </c>
      <c r="BU61">
        <f t="shared" si="34"/>
        <v>112.33438770345586</v>
      </c>
      <c r="BV61">
        <f t="shared" si="34"/>
        <v>112.33438770324361</v>
      </c>
      <c r="BW61">
        <f t="shared" si="34"/>
        <v>112.33438770313748</v>
      </c>
      <c r="BX61">
        <f t="shared" si="34"/>
        <v>112.33438770319054</v>
      </c>
      <c r="BY61">
        <f t="shared" si="34"/>
        <v>112.33438770316401</v>
      </c>
      <c r="BZ61">
        <f t="shared" si="34"/>
        <v>112.33438770315075</v>
      </c>
      <c r="CA61">
        <f t="shared" si="34"/>
        <v>112.33438770314412</v>
      </c>
      <c r="CB61">
        <f t="shared" si="34"/>
        <v>112.33438770314081</v>
      </c>
      <c r="CC61">
        <f t="shared" si="34"/>
        <v>112.33438770314245</v>
      </c>
      <c r="CD61">
        <f t="shared" si="34"/>
        <v>112.33438770314328</v>
      </c>
      <c r="CE61">
        <f t="shared" si="34"/>
        <v>112.33438770314287</v>
      </c>
      <c r="CF61" s="43">
        <f t="shared" si="34"/>
        <v>112.33438770314308</v>
      </c>
    </row>
    <row r="62" spans="34:84" x14ac:dyDescent="0.25">
      <c r="AH62" t="s">
        <v>56</v>
      </c>
      <c r="AI62">
        <f>Foglio1!$AE10</f>
        <v>1.5079941860465477E-3</v>
      </c>
      <c r="AJ62">
        <f>Foglio1!$AE10</f>
        <v>1.5079941860465477E-3</v>
      </c>
      <c r="AK62">
        <f>Foglio1!$AE10</f>
        <v>1.5079941860465477E-3</v>
      </c>
      <c r="AL62">
        <f>Foglio1!$AE10</f>
        <v>1.5079941860465477E-3</v>
      </c>
      <c r="AM62">
        <f>Foglio1!$AE10</f>
        <v>1.5079941860465477E-3</v>
      </c>
      <c r="AN62">
        <f>Foglio1!$AE10</f>
        <v>1.5079941860465477E-3</v>
      </c>
      <c r="AO62">
        <f>Foglio1!$AE10</f>
        <v>1.5079941860465477E-3</v>
      </c>
      <c r="AP62">
        <f>Foglio1!$AE10</f>
        <v>1.5079941860465477E-3</v>
      </c>
      <c r="AQ62">
        <f>Foglio1!$AE10</f>
        <v>1.5079941860465477E-3</v>
      </c>
      <c r="AR62">
        <f>Foglio1!$AE10</f>
        <v>1.5079941860465477E-3</v>
      </c>
      <c r="AS62">
        <f>Foglio1!$AE10</f>
        <v>1.5079941860465477E-3</v>
      </c>
      <c r="AT62">
        <f>Foglio1!$AE10</f>
        <v>1.5079941860465477E-3</v>
      </c>
      <c r="AU62">
        <f>Foglio1!$AE10</f>
        <v>1.5079941860465477E-3</v>
      </c>
      <c r="AV62">
        <f>Foglio1!$AE10</f>
        <v>1.5079941860465477E-3</v>
      </c>
      <c r="AW62">
        <f>Foglio1!$AE10</f>
        <v>1.5079941860465477E-3</v>
      </c>
      <c r="AX62">
        <f>Foglio1!$AE10</f>
        <v>1.5079941860465477E-3</v>
      </c>
      <c r="AY62">
        <f>Foglio1!$AE10</f>
        <v>1.5079941860465477E-3</v>
      </c>
      <c r="AZ62">
        <f>Foglio1!$AE10</f>
        <v>1.5079941860465477E-3</v>
      </c>
      <c r="BA62">
        <f>Foglio1!$AE10</f>
        <v>1.5079941860465477E-3</v>
      </c>
      <c r="BB62">
        <f>Foglio1!$AE10</f>
        <v>1.5079941860465477E-3</v>
      </c>
      <c r="BC62">
        <f>Foglio1!$AE10</f>
        <v>1.5079941860465477E-3</v>
      </c>
      <c r="BD62">
        <f>Foglio1!$AE10</f>
        <v>1.5079941860465477E-3</v>
      </c>
      <c r="BE62">
        <f>Foglio1!$AE10</f>
        <v>1.5079941860465477E-3</v>
      </c>
      <c r="BF62">
        <f>Foglio1!$AE10</f>
        <v>1.5079941860465477E-3</v>
      </c>
      <c r="BG62">
        <f>Foglio1!$AE10</f>
        <v>1.5079941860465477E-3</v>
      </c>
      <c r="BH62">
        <f>Foglio1!$AE10</f>
        <v>1.5079941860465477E-3</v>
      </c>
      <c r="BI62">
        <f>Foglio1!$AE10</f>
        <v>1.5079941860465477E-3</v>
      </c>
      <c r="BJ62">
        <f>Foglio1!$AE10</f>
        <v>1.5079941860465477E-3</v>
      </c>
      <c r="BK62">
        <f>Foglio1!$AE10</f>
        <v>1.5079941860465477E-3</v>
      </c>
      <c r="BL62">
        <f>Foglio1!$AE10</f>
        <v>1.5079941860465477E-3</v>
      </c>
      <c r="BM62">
        <f>Foglio1!$AE10</f>
        <v>1.5079941860465477E-3</v>
      </c>
      <c r="BN62">
        <f>Foglio1!$AE10</f>
        <v>1.5079941860465477E-3</v>
      </c>
      <c r="BO62">
        <f>Foglio1!$AE10</f>
        <v>1.5079941860465477E-3</v>
      </c>
      <c r="BP62">
        <f>Foglio1!$AE10</f>
        <v>1.5079941860465477E-3</v>
      </c>
      <c r="BQ62">
        <f>Foglio1!$AE10</f>
        <v>1.5079941860465477E-3</v>
      </c>
      <c r="BR62">
        <f>Foglio1!$AE10</f>
        <v>1.5079941860465477E-3</v>
      </c>
      <c r="BS62">
        <f>Foglio1!$AE10</f>
        <v>1.5079941860465477E-3</v>
      </c>
      <c r="BT62">
        <f>Foglio1!$AE10</f>
        <v>1.5079941860465477E-3</v>
      </c>
      <c r="BU62">
        <f>Foglio1!$AE10</f>
        <v>1.5079941860465477E-3</v>
      </c>
      <c r="BV62">
        <f>Foglio1!$AE10</f>
        <v>1.5079941860465477E-3</v>
      </c>
      <c r="BW62">
        <f>Foglio1!$AE10</f>
        <v>1.5079941860465477E-3</v>
      </c>
      <c r="BX62">
        <f>Foglio1!$AE10</f>
        <v>1.5079941860465477E-3</v>
      </c>
      <c r="BY62">
        <f>Foglio1!$AE10</f>
        <v>1.5079941860465477E-3</v>
      </c>
      <c r="BZ62">
        <f>Foglio1!$AE10</f>
        <v>1.5079941860465477E-3</v>
      </c>
      <c r="CA62">
        <f>Foglio1!$AE10</f>
        <v>1.5079941860465477E-3</v>
      </c>
      <c r="CB62">
        <f>Foglio1!$AE10</f>
        <v>1.5079941860465477E-3</v>
      </c>
      <c r="CC62">
        <f>Foglio1!$AE10</f>
        <v>1.5079941860465477E-3</v>
      </c>
      <c r="CD62">
        <f>Foglio1!$AE10</f>
        <v>1.5079941860465477E-3</v>
      </c>
      <c r="CE62">
        <f>Foglio1!$AE10</f>
        <v>1.5079941860465477E-3</v>
      </c>
      <c r="CF62">
        <f>Foglio1!$AE10</f>
        <v>1.5079941860465477E-3</v>
      </c>
    </row>
    <row r="63" spans="34:84" x14ac:dyDescent="0.25">
      <c r="AH63" t="s">
        <v>57</v>
      </c>
      <c r="AI63">
        <f>Foglio1!$AE11</f>
        <v>3.4338662790698031E-3</v>
      </c>
      <c r="AJ63">
        <f>Foglio1!$AE11</f>
        <v>3.4338662790698031E-3</v>
      </c>
      <c r="AK63">
        <f>Foglio1!$AE11</f>
        <v>3.4338662790698031E-3</v>
      </c>
      <c r="AL63">
        <f>Foglio1!$AE11</f>
        <v>3.4338662790698031E-3</v>
      </c>
      <c r="AM63">
        <f>Foglio1!$AE11</f>
        <v>3.4338662790698031E-3</v>
      </c>
      <c r="AN63">
        <f>Foglio1!$AE11</f>
        <v>3.4338662790698031E-3</v>
      </c>
      <c r="AO63">
        <f>Foglio1!$AE11</f>
        <v>3.4338662790698031E-3</v>
      </c>
      <c r="AP63">
        <f>Foglio1!$AE11</f>
        <v>3.4338662790698031E-3</v>
      </c>
      <c r="AQ63">
        <f>Foglio1!$AE11</f>
        <v>3.4338662790698031E-3</v>
      </c>
      <c r="AR63">
        <f>Foglio1!$AE11</f>
        <v>3.4338662790698031E-3</v>
      </c>
      <c r="AS63">
        <f>Foglio1!$AE11</f>
        <v>3.4338662790698031E-3</v>
      </c>
      <c r="AT63">
        <f>Foglio1!$AE11</f>
        <v>3.4338662790698031E-3</v>
      </c>
      <c r="AU63">
        <f>Foglio1!$AE11</f>
        <v>3.4338662790698031E-3</v>
      </c>
      <c r="AV63">
        <f>Foglio1!$AE11</f>
        <v>3.4338662790698031E-3</v>
      </c>
      <c r="AW63">
        <f>Foglio1!$AE11</f>
        <v>3.4338662790698031E-3</v>
      </c>
      <c r="AX63">
        <f>Foglio1!$AE11</f>
        <v>3.4338662790698031E-3</v>
      </c>
      <c r="AY63">
        <f>Foglio1!$AE11</f>
        <v>3.4338662790698031E-3</v>
      </c>
      <c r="AZ63">
        <f>Foglio1!$AE11</f>
        <v>3.4338662790698031E-3</v>
      </c>
      <c r="BA63">
        <f>Foglio1!$AE11</f>
        <v>3.4338662790698031E-3</v>
      </c>
      <c r="BB63">
        <f>Foglio1!$AE11</f>
        <v>3.4338662790698031E-3</v>
      </c>
      <c r="BC63">
        <f>Foglio1!$AE11</f>
        <v>3.4338662790698031E-3</v>
      </c>
      <c r="BD63">
        <f>Foglio1!$AE11</f>
        <v>3.4338662790698031E-3</v>
      </c>
      <c r="BE63">
        <f>Foglio1!$AE11</f>
        <v>3.4338662790698031E-3</v>
      </c>
      <c r="BF63">
        <f>Foglio1!$AE11</f>
        <v>3.4338662790698031E-3</v>
      </c>
      <c r="BG63">
        <f>Foglio1!$AE11</f>
        <v>3.4338662790698031E-3</v>
      </c>
      <c r="BH63">
        <f>Foglio1!$AE11</f>
        <v>3.4338662790698031E-3</v>
      </c>
      <c r="BI63">
        <f>Foglio1!$AE11</f>
        <v>3.4338662790698031E-3</v>
      </c>
      <c r="BJ63">
        <f>Foglio1!$AE11</f>
        <v>3.4338662790698031E-3</v>
      </c>
      <c r="BK63">
        <f>Foglio1!$AE11</f>
        <v>3.4338662790698031E-3</v>
      </c>
      <c r="BL63">
        <f>Foglio1!$AE11</f>
        <v>3.4338662790698031E-3</v>
      </c>
      <c r="BM63">
        <f>Foglio1!$AE11</f>
        <v>3.4338662790698031E-3</v>
      </c>
      <c r="BN63">
        <f>Foglio1!$AE11</f>
        <v>3.4338662790698031E-3</v>
      </c>
      <c r="BO63">
        <f>Foglio1!$AE11</f>
        <v>3.4338662790698031E-3</v>
      </c>
      <c r="BP63">
        <f>Foglio1!$AE11</f>
        <v>3.4338662790698031E-3</v>
      </c>
      <c r="BQ63">
        <f>Foglio1!$AE11</f>
        <v>3.4338662790698031E-3</v>
      </c>
      <c r="BR63">
        <f>Foglio1!$AE11</f>
        <v>3.4338662790698031E-3</v>
      </c>
      <c r="BS63">
        <f>Foglio1!$AE11</f>
        <v>3.4338662790698031E-3</v>
      </c>
      <c r="BT63">
        <f>Foglio1!$AE11</f>
        <v>3.4338662790698031E-3</v>
      </c>
      <c r="BU63">
        <f>Foglio1!$AE11</f>
        <v>3.4338662790698031E-3</v>
      </c>
      <c r="BV63">
        <f>Foglio1!$AE11</f>
        <v>3.4338662790698031E-3</v>
      </c>
      <c r="BW63">
        <f>Foglio1!$AE11</f>
        <v>3.4338662790698031E-3</v>
      </c>
      <c r="BX63">
        <f>Foglio1!$AE11</f>
        <v>3.4338662790698031E-3</v>
      </c>
      <c r="BY63">
        <f>Foglio1!$AE11</f>
        <v>3.4338662790698031E-3</v>
      </c>
      <c r="BZ63">
        <f>Foglio1!$AE11</f>
        <v>3.4338662790698031E-3</v>
      </c>
      <c r="CA63">
        <f>Foglio1!$AE11</f>
        <v>3.4338662790698031E-3</v>
      </c>
      <c r="CB63">
        <f>Foglio1!$AE11</f>
        <v>3.4338662790698031E-3</v>
      </c>
      <c r="CC63">
        <f>Foglio1!$AE11</f>
        <v>3.4338662790698031E-3</v>
      </c>
      <c r="CD63">
        <f>Foglio1!$AE11</f>
        <v>3.4338662790698031E-3</v>
      </c>
      <c r="CE63">
        <f>Foglio1!$AE11</f>
        <v>3.4338662790698031E-3</v>
      </c>
      <c r="CF63">
        <f>Foglio1!$AE11</f>
        <v>3.4338662790698031E-3</v>
      </c>
    </row>
    <row r="64" spans="34:84" x14ac:dyDescent="0.25">
      <c r="AH64" t="s">
        <v>58</v>
      </c>
      <c r="AI64">
        <f>Foglio1!$AE12</f>
        <v>1.236430323401177E-2</v>
      </c>
      <c r="AJ64">
        <f>Foglio1!$AE12</f>
        <v>1.236430323401177E-2</v>
      </c>
      <c r="AK64">
        <f>Foglio1!$AE12</f>
        <v>1.236430323401177E-2</v>
      </c>
      <c r="AL64">
        <f>Foglio1!$AE12</f>
        <v>1.236430323401177E-2</v>
      </c>
      <c r="AM64">
        <f>Foglio1!$AE12</f>
        <v>1.236430323401177E-2</v>
      </c>
      <c r="AN64">
        <f>Foglio1!$AE12</f>
        <v>1.236430323401177E-2</v>
      </c>
      <c r="AO64">
        <f>Foglio1!$AE12</f>
        <v>1.236430323401177E-2</v>
      </c>
      <c r="AP64">
        <f>Foglio1!$AE12</f>
        <v>1.236430323401177E-2</v>
      </c>
      <c r="AQ64">
        <f>Foglio1!$AE12</f>
        <v>1.236430323401177E-2</v>
      </c>
      <c r="AR64">
        <f>Foglio1!$AE12</f>
        <v>1.236430323401177E-2</v>
      </c>
      <c r="AS64">
        <f>Foglio1!$AE12</f>
        <v>1.236430323401177E-2</v>
      </c>
      <c r="AT64">
        <f>Foglio1!$AE12</f>
        <v>1.236430323401177E-2</v>
      </c>
      <c r="AU64">
        <f>Foglio1!$AE12</f>
        <v>1.236430323401177E-2</v>
      </c>
      <c r="AV64">
        <f>Foglio1!$AE12</f>
        <v>1.236430323401177E-2</v>
      </c>
      <c r="AW64">
        <f>Foglio1!$AE12</f>
        <v>1.236430323401177E-2</v>
      </c>
      <c r="AX64">
        <f>Foglio1!$AE12</f>
        <v>1.236430323401177E-2</v>
      </c>
      <c r="AY64">
        <f>Foglio1!$AE12</f>
        <v>1.236430323401177E-2</v>
      </c>
      <c r="AZ64">
        <f>Foglio1!$AE12</f>
        <v>1.236430323401177E-2</v>
      </c>
      <c r="BA64">
        <f>Foglio1!$AE12</f>
        <v>1.236430323401177E-2</v>
      </c>
      <c r="BB64">
        <f>Foglio1!$AE12</f>
        <v>1.236430323401177E-2</v>
      </c>
      <c r="BC64">
        <f>Foglio1!$AE12</f>
        <v>1.236430323401177E-2</v>
      </c>
      <c r="BD64">
        <f>Foglio1!$AE12</f>
        <v>1.236430323401177E-2</v>
      </c>
      <c r="BE64">
        <f>Foglio1!$AE12</f>
        <v>1.236430323401177E-2</v>
      </c>
      <c r="BF64">
        <f>Foglio1!$AE12</f>
        <v>1.236430323401177E-2</v>
      </c>
      <c r="BG64">
        <f>Foglio1!$AE12</f>
        <v>1.236430323401177E-2</v>
      </c>
      <c r="BH64">
        <f>Foglio1!$AE12</f>
        <v>1.236430323401177E-2</v>
      </c>
      <c r="BI64">
        <f>Foglio1!$AE12</f>
        <v>1.236430323401177E-2</v>
      </c>
      <c r="BJ64">
        <f>Foglio1!$AE12</f>
        <v>1.236430323401177E-2</v>
      </c>
      <c r="BK64">
        <f>Foglio1!$AE12</f>
        <v>1.236430323401177E-2</v>
      </c>
      <c r="BL64">
        <f>Foglio1!$AE12</f>
        <v>1.236430323401177E-2</v>
      </c>
      <c r="BM64">
        <f>Foglio1!$AE12</f>
        <v>1.236430323401177E-2</v>
      </c>
      <c r="BN64">
        <f>Foglio1!$AE12</f>
        <v>1.236430323401177E-2</v>
      </c>
      <c r="BO64">
        <f>Foglio1!$AE12</f>
        <v>1.236430323401177E-2</v>
      </c>
      <c r="BP64">
        <f>Foglio1!$AE12</f>
        <v>1.236430323401177E-2</v>
      </c>
      <c r="BQ64">
        <f>Foglio1!$AE12</f>
        <v>1.236430323401177E-2</v>
      </c>
      <c r="BR64">
        <f>Foglio1!$AE12</f>
        <v>1.236430323401177E-2</v>
      </c>
      <c r="BS64">
        <f>Foglio1!$AE12</f>
        <v>1.236430323401177E-2</v>
      </c>
      <c r="BT64">
        <f>Foglio1!$AE12</f>
        <v>1.236430323401177E-2</v>
      </c>
      <c r="BU64">
        <f>Foglio1!$AE12</f>
        <v>1.236430323401177E-2</v>
      </c>
      <c r="BV64">
        <f>Foglio1!$AE12</f>
        <v>1.236430323401177E-2</v>
      </c>
      <c r="BW64">
        <f>Foglio1!$AE12</f>
        <v>1.236430323401177E-2</v>
      </c>
      <c r="BX64">
        <f>Foglio1!$AE12</f>
        <v>1.236430323401177E-2</v>
      </c>
      <c r="BY64">
        <f>Foglio1!$AE12</f>
        <v>1.236430323401177E-2</v>
      </c>
      <c r="BZ64">
        <f>Foglio1!$AE12</f>
        <v>1.236430323401177E-2</v>
      </c>
      <c r="CA64">
        <f>Foglio1!$AE12</f>
        <v>1.236430323401177E-2</v>
      </c>
      <c r="CB64">
        <f>Foglio1!$AE12</f>
        <v>1.236430323401177E-2</v>
      </c>
      <c r="CC64">
        <f>Foglio1!$AE12</f>
        <v>1.236430323401177E-2</v>
      </c>
      <c r="CD64">
        <f>Foglio1!$AE12</f>
        <v>1.236430323401177E-2</v>
      </c>
      <c r="CE64">
        <f>Foglio1!$AE12</f>
        <v>1.236430323401177E-2</v>
      </c>
      <c r="CF64">
        <f>Foglio1!$AE12</f>
        <v>1.236430323401177E-2</v>
      </c>
    </row>
    <row r="65" spans="34:84" x14ac:dyDescent="0.25">
      <c r="AH65" t="s">
        <v>59</v>
      </c>
      <c r="AI65">
        <f>Foglio1!$AE13</f>
        <v>0.34349463078043851</v>
      </c>
      <c r="AJ65">
        <f>Foglio1!$AE13</f>
        <v>0.34349463078043851</v>
      </c>
      <c r="AK65">
        <f>Foglio1!$AE13</f>
        <v>0.34349463078043851</v>
      </c>
      <c r="AL65">
        <f>Foglio1!$AE13</f>
        <v>0.34349463078043851</v>
      </c>
      <c r="AM65">
        <f>Foglio1!$AE13</f>
        <v>0.34349463078043851</v>
      </c>
      <c r="AN65">
        <f>Foglio1!$AE13</f>
        <v>0.34349463078043851</v>
      </c>
      <c r="AO65">
        <f>Foglio1!$AE13</f>
        <v>0.34349463078043851</v>
      </c>
      <c r="AP65">
        <f>Foglio1!$AE13</f>
        <v>0.34349463078043851</v>
      </c>
      <c r="AQ65">
        <f>Foglio1!$AE13</f>
        <v>0.34349463078043851</v>
      </c>
      <c r="AR65">
        <f>Foglio1!$AE13</f>
        <v>0.34349463078043851</v>
      </c>
      <c r="AS65">
        <f>Foglio1!$AE13</f>
        <v>0.34349463078043851</v>
      </c>
      <c r="AT65">
        <f>Foglio1!$AE13</f>
        <v>0.34349463078043851</v>
      </c>
      <c r="AU65">
        <f>Foglio1!$AE13</f>
        <v>0.34349463078043851</v>
      </c>
      <c r="AV65">
        <f>Foglio1!$AE13</f>
        <v>0.34349463078043851</v>
      </c>
      <c r="AW65">
        <f>Foglio1!$AE13</f>
        <v>0.34349463078043851</v>
      </c>
      <c r="AX65">
        <f>Foglio1!$AE13</f>
        <v>0.34349463078043851</v>
      </c>
      <c r="AY65">
        <f>Foglio1!$AE13</f>
        <v>0.34349463078043851</v>
      </c>
      <c r="AZ65">
        <f>Foglio1!$AE13</f>
        <v>0.34349463078043851</v>
      </c>
      <c r="BA65">
        <f>Foglio1!$AE13</f>
        <v>0.34349463078043851</v>
      </c>
      <c r="BB65">
        <f>Foglio1!$AE13</f>
        <v>0.34349463078043851</v>
      </c>
      <c r="BC65">
        <f>Foglio1!$AE13</f>
        <v>0.34349463078043851</v>
      </c>
      <c r="BD65">
        <f>Foglio1!$AE13</f>
        <v>0.34349463078043851</v>
      </c>
      <c r="BE65">
        <f>Foglio1!$AE13</f>
        <v>0.34349463078043851</v>
      </c>
      <c r="BF65">
        <f>Foglio1!$AE13</f>
        <v>0.34349463078043851</v>
      </c>
      <c r="BG65">
        <f>Foglio1!$AE13</f>
        <v>0.34349463078043851</v>
      </c>
      <c r="BH65">
        <f>Foglio1!$AE13</f>
        <v>0.34349463078043851</v>
      </c>
      <c r="BI65">
        <f>Foglio1!$AE13</f>
        <v>0.34349463078043851</v>
      </c>
      <c r="BJ65">
        <f>Foglio1!$AE13</f>
        <v>0.34349463078043851</v>
      </c>
      <c r="BK65">
        <f>Foglio1!$AE13</f>
        <v>0.34349463078043851</v>
      </c>
      <c r="BL65">
        <f>Foglio1!$AE13</f>
        <v>0.34349463078043851</v>
      </c>
      <c r="BM65">
        <f>Foglio1!$AE13</f>
        <v>0.34349463078043851</v>
      </c>
      <c r="BN65">
        <f>Foglio1!$AE13</f>
        <v>0.34349463078043851</v>
      </c>
      <c r="BO65">
        <f>Foglio1!$AE13</f>
        <v>0.34349463078043851</v>
      </c>
      <c r="BP65">
        <f>Foglio1!$AE13</f>
        <v>0.34349463078043851</v>
      </c>
      <c r="BQ65">
        <f>Foglio1!$AE13</f>
        <v>0.34349463078043851</v>
      </c>
      <c r="BR65">
        <f>Foglio1!$AE13</f>
        <v>0.34349463078043851</v>
      </c>
      <c r="BS65">
        <f>Foglio1!$AE13</f>
        <v>0.34349463078043851</v>
      </c>
      <c r="BT65">
        <f>Foglio1!$AE13</f>
        <v>0.34349463078043851</v>
      </c>
      <c r="BU65">
        <f>Foglio1!$AE13</f>
        <v>0.34349463078043851</v>
      </c>
      <c r="BV65">
        <f>Foglio1!$AE13</f>
        <v>0.34349463078043851</v>
      </c>
      <c r="BW65">
        <f>Foglio1!$AE13</f>
        <v>0.34349463078043851</v>
      </c>
      <c r="BX65">
        <f>Foglio1!$AE13</f>
        <v>0.34349463078043851</v>
      </c>
      <c r="BY65">
        <f>Foglio1!$AE13</f>
        <v>0.34349463078043851</v>
      </c>
      <c r="BZ65">
        <f>Foglio1!$AE13</f>
        <v>0.34349463078043851</v>
      </c>
      <c r="CA65">
        <f>Foglio1!$AE13</f>
        <v>0.34349463078043851</v>
      </c>
      <c r="CB65">
        <f>Foglio1!$AE13</f>
        <v>0.34349463078043851</v>
      </c>
      <c r="CC65">
        <f>Foglio1!$AE13</f>
        <v>0.34349463078043851</v>
      </c>
      <c r="CD65">
        <f>Foglio1!$AE13</f>
        <v>0.34349463078043851</v>
      </c>
      <c r="CE65">
        <f>Foglio1!$AE13</f>
        <v>0.34349463078043851</v>
      </c>
      <c r="CF65">
        <f>Foglio1!$AE13</f>
        <v>0.34349463078043851</v>
      </c>
    </row>
    <row r="66" spans="34:84" x14ac:dyDescent="0.25">
      <c r="AH66" t="s">
        <v>60</v>
      </c>
      <c r="AI66">
        <f>Foglio1!$AE14</f>
        <v>0.6391992055204333</v>
      </c>
      <c r="AJ66">
        <f>Foglio1!$AE14</f>
        <v>0.6391992055204333</v>
      </c>
      <c r="AK66">
        <f>Foglio1!$AE14</f>
        <v>0.6391992055204333</v>
      </c>
      <c r="AL66">
        <f>Foglio1!$AE14</f>
        <v>0.6391992055204333</v>
      </c>
      <c r="AM66">
        <f>Foglio1!$AE14</f>
        <v>0.6391992055204333</v>
      </c>
      <c r="AN66">
        <f>Foglio1!$AE14</f>
        <v>0.6391992055204333</v>
      </c>
      <c r="AO66">
        <f>Foglio1!$AE14</f>
        <v>0.6391992055204333</v>
      </c>
      <c r="AP66">
        <f>Foglio1!$AE14</f>
        <v>0.6391992055204333</v>
      </c>
      <c r="AQ66">
        <f>Foglio1!$AE14</f>
        <v>0.6391992055204333</v>
      </c>
      <c r="AR66">
        <f>Foglio1!$AE14</f>
        <v>0.6391992055204333</v>
      </c>
      <c r="AS66">
        <f>Foglio1!$AE14</f>
        <v>0.6391992055204333</v>
      </c>
      <c r="AT66">
        <f>Foglio1!$AE14</f>
        <v>0.6391992055204333</v>
      </c>
      <c r="AU66">
        <f>Foglio1!$AE14</f>
        <v>0.6391992055204333</v>
      </c>
      <c r="AV66">
        <f>Foglio1!$AE14</f>
        <v>0.6391992055204333</v>
      </c>
      <c r="AW66">
        <f>Foglio1!$AE14</f>
        <v>0.6391992055204333</v>
      </c>
      <c r="AX66">
        <f>Foglio1!$AE14</f>
        <v>0.6391992055204333</v>
      </c>
      <c r="AY66">
        <f>Foglio1!$AE14</f>
        <v>0.6391992055204333</v>
      </c>
      <c r="AZ66">
        <f>Foglio1!$AE14</f>
        <v>0.6391992055204333</v>
      </c>
      <c r="BA66">
        <f>Foglio1!$AE14</f>
        <v>0.6391992055204333</v>
      </c>
      <c r="BB66">
        <f>Foglio1!$AE14</f>
        <v>0.6391992055204333</v>
      </c>
      <c r="BC66">
        <f>Foglio1!$AE14</f>
        <v>0.6391992055204333</v>
      </c>
      <c r="BD66">
        <f>Foglio1!$AE14</f>
        <v>0.6391992055204333</v>
      </c>
      <c r="BE66">
        <f>Foglio1!$AE14</f>
        <v>0.6391992055204333</v>
      </c>
      <c r="BF66">
        <f>Foglio1!$AE14</f>
        <v>0.6391992055204333</v>
      </c>
      <c r="BG66">
        <f>Foglio1!$AE14</f>
        <v>0.6391992055204333</v>
      </c>
      <c r="BH66">
        <f>Foglio1!$AE14</f>
        <v>0.6391992055204333</v>
      </c>
      <c r="BI66">
        <f>Foglio1!$AE14</f>
        <v>0.6391992055204333</v>
      </c>
      <c r="BJ66">
        <f>Foglio1!$AE14</f>
        <v>0.6391992055204333</v>
      </c>
      <c r="BK66">
        <f>Foglio1!$AE14</f>
        <v>0.6391992055204333</v>
      </c>
      <c r="BL66">
        <f>Foglio1!$AE14</f>
        <v>0.6391992055204333</v>
      </c>
      <c r="BM66">
        <f>Foglio1!$AE14</f>
        <v>0.6391992055204333</v>
      </c>
      <c r="BN66">
        <f>Foglio1!$AE14</f>
        <v>0.6391992055204333</v>
      </c>
      <c r="BO66">
        <f>Foglio1!$AE14</f>
        <v>0.6391992055204333</v>
      </c>
      <c r="BP66">
        <f>Foglio1!$AE14</f>
        <v>0.6391992055204333</v>
      </c>
      <c r="BQ66">
        <f>Foglio1!$AE14</f>
        <v>0.6391992055204333</v>
      </c>
      <c r="BR66">
        <f>Foglio1!$AE14</f>
        <v>0.6391992055204333</v>
      </c>
      <c r="BS66">
        <f>Foglio1!$AE14</f>
        <v>0.6391992055204333</v>
      </c>
      <c r="BT66">
        <f>Foglio1!$AE14</f>
        <v>0.6391992055204333</v>
      </c>
      <c r="BU66">
        <f>Foglio1!$AE14</f>
        <v>0.6391992055204333</v>
      </c>
      <c r="BV66">
        <f>Foglio1!$AE14</f>
        <v>0.6391992055204333</v>
      </c>
      <c r="BW66">
        <f>Foglio1!$AE14</f>
        <v>0.6391992055204333</v>
      </c>
      <c r="BX66">
        <f>Foglio1!$AE14</f>
        <v>0.6391992055204333</v>
      </c>
      <c r="BY66">
        <f>Foglio1!$AE14</f>
        <v>0.6391992055204333</v>
      </c>
      <c r="BZ66">
        <f>Foglio1!$AE14</f>
        <v>0.6391992055204333</v>
      </c>
      <c r="CA66">
        <f>Foglio1!$AE14</f>
        <v>0.6391992055204333</v>
      </c>
      <c r="CB66">
        <f>Foglio1!$AE14</f>
        <v>0.6391992055204333</v>
      </c>
      <c r="CC66">
        <f>Foglio1!$AE14</f>
        <v>0.6391992055204333</v>
      </c>
      <c r="CD66">
        <f>Foglio1!$AE14</f>
        <v>0.6391992055204333</v>
      </c>
      <c r="CE66">
        <f>Foglio1!$AE14</f>
        <v>0.6391992055204333</v>
      </c>
      <c r="CF66">
        <f>Foglio1!$AE14</f>
        <v>0.6391992055204333</v>
      </c>
    </row>
    <row r="67" spans="34:84" x14ac:dyDescent="0.25">
      <c r="AH67" t="s">
        <v>61</v>
      </c>
      <c r="AI67">
        <f>Foglio1!$AE15</f>
        <v>0</v>
      </c>
      <c r="AJ67">
        <f>Foglio1!$AE15</f>
        <v>0</v>
      </c>
      <c r="AK67">
        <f>Foglio1!$AE15</f>
        <v>0</v>
      </c>
      <c r="AL67">
        <f>Foglio1!$AE15</f>
        <v>0</v>
      </c>
      <c r="AM67">
        <f>Foglio1!$AE15</f>
        <v>0</v>
      </c>
      <c r="AN67">
        <f>Foglio1!$AE15</f>
        <v>0</v>
      </c>
      <c r="AO67">
        <f>Foglio1!$AE15</f>
        <v>0</v>
      </c>
      <c r="AP67">
        <f>Foglio1!$AE15</f>
        <v>0</v>
      </c>
      <c r="AQ67">
        <f>Foglio1!$AE15</f>
        <v>0</v>
      </c>
      <c r="AR67">
        <f>Foglio1!$AE15</f>
        <v>0</v>
      </c>
      <c r="AS67">
        <f>Foglio1!$AE15</f>
        <v>0</v>
      </c>
      <c r="AT67">
        <f>Foglio1!$AE15</f>
        <v>0</v>
      </c>
      <c r="AU67">
        <f>Foglio1!$AE15</f>
        <v>0</v>
      </c>
      <c r="AV67">
        <f>Foglio1!$AE15</f>
        <v>0</v>
      </c>
      <c r="AW67">
        <f>Foglio1!$AE15</f>
        <v>0</v>
      </c>
      <c r="AX67">
        <f>Foglio1!$AE15</f>
        <v>0</v>
      </c>
      <c r="AY67">
        <f>Foglio1!$AE15</f>
        <v>0</v>
      </c>
      <c r="AZ67">
        <f>Foglio1!$AE15</f>
        <v>0</v>
      </c>
      <c r="BA67">
        <f>Foglio1!$AE15</f>
        <v>0</v>
      </c>
      <c r="BB67">
        <f>Foglio1!$AE15</f>
        <v>0</v>
      </c>
      <c r="BC67">
        <f>Foglio1!$AE15</f>
        <v>0</v>
      </c>
      <c r="BD67">
        <f>Foglio1!$AE15</f>
        <v>0</v>
      </c>
      <c r="BE67">
        <f>Foglio1!$AE15</f>
        <v>0</v>
      </c>
      <c r="BF67">
        <f>Foglio1!$AE15</f>
        <v>0</v>
      </c>
      <c r="BG67">
        <f>Foglio1!$AE15</f>
        <v>0</v>
      </c>
      <c r="BH67">
        <f>Foglio1!$AE15</f>
        <v>0</v>
      </c>
      <c r="BI67">
        <f>Foglio1!$AE15</f>
        <v>0</v>
      </c>
      <c r="BJ67">
        <f>Foglio1!$AE15</f>
        <v>0</v>
      </c>
      <c r="BK67">
        <f>Foglio1!$AE15</f>
        <v>0</v>
      </c>
      <c r="BL67">
        <f>Foglio1!$AE15</f>
        <v>0</v>
      </c>
      <c r="BM67">
        <f>Foglio1!$AE15</f>
        <v>0</v>
      </c>
      <c r="BN67">
        <f>Foglio1!$AE15</f>
        <v>0</v>
      </c>
      <c r="BO67">
        <f>Foglio1!$AE15</f>
        <v>0</v>
      </c>
      <c r="BP67">
        <f>Foglio1!$AE15</f>
        <v>0</v>
      </c>
      <c r="BQ67">
        <f>Foglio1!$AE15</f>
        <v>0</v>
      </c>
      <c r="BR67">
        <f>Foglio1!$AE15</f>
        <v>0</v>
      </c>
      <c r="BS67">
        <f>Foglio1!$AE15</f>
        <v>0</v>
      </c>
      <c r="BT67">
        <f>Foglio1!$AE15</f>
        <v>0</v>
      </c>
      <c r="BU67">
        <f>Foglio1!$AE15</f>
        <v>0</v>
      </c>
      <c r="BV67">
        <f>Foglio1!$AE15</f>
        <v>0</v>
      </c>
      <c r="BW67">
        <f>Foglio1!$AE15</f>
        <v>0</v>
      </c>
      <c r="BX67">
        <f>Foglio1!$AE15</f>
        <v>0</v>
      </c>
      <c r="BY67">
        <f>Foglio1!$AE15</f>
        <v>0</v>
      </c>
      <c r="BZ67">
        <f>Foglio1!$AE15</f>
        <v>0</v>
      </c>
      <c r="CA67">
        <f>Foglio1!$AE15</f>
        <v>0</v>
      </c>
      <c r="CB67">
        <f>Foglio1!$AE15</f>
        <v>0</v>
      </c>
      <c r="CC67">
        <f>Foglio1!$AE15</f>
        <v>0</v>
      </c>
      <c r="CD67">
        <f>Foglio1!$AE15</f>
        <v>0</v>
      </c>
      <c r="CE67">
        <f>Foglio1!$AE15</f>
        <v>0</v>
      </c>
      <c r="CF67">
        <f>Foglio1!$AE15</f>
        <v>0</v>
      </c>
    </row>
    <row r="68" spans="34:84" x14ac:dyDescent="0.25">
      <c r="AH68" t="s">
        <v>62</v>
      </c>
      <c r="AI68">
        <f>Foglio1!$AE16</f>
        <v>0</v>
      </c>
      <c r="AJ68">
        <f>Foglio1!$AE16</f>
        <v>0</v>
      </c>
      <c r="AK68">
        <f>Foglio1!$AE16</f>
        <v>0</v>
      </c>
      <c r="AL68">
        <f>Foglio1!$AE16</f>
        <v>0</v>
      </c>
      <c r="AM68">
        <f>Foglio1!$AE16</f>
        <v>0</v>
      </c>
      <c r="AN68">
        <f>Foglio1!$AE16</f>
        <v>0</v>
      </c>
      <c r="AO68">
        <f>Foglio1!$AE16</f>
        <v>0</v>
      </c>
      <c r="AP68">
        <f>Foglio1!$AE16</f>
        <v>0</v>
      </c>
      <c r="AQ68">
        <f>Foglio1!$AE16</f>
        <v>0</v>
      </c>
      <c r="AR68">
        <f>Foglio1!$AE16</f>
        <v>0</v>
      </c>
      <c r="AS68">
        <f>Foglio1!$AE16</f>
        <v>0</v>
      </c>
      <c r="AT68">
        <f>Foglio1!$AE16</f>
        <v>0</v>
      </c>
      <c r="AU68">
        <f>Foglio1!$AE16</f>
        <v>0</v>
      </c>
      <c r="AV68">
        <f>Foglio1!$AE16</f>
        <v>0</v>
      </c>
      <c r="AW68">
        <f>Foglio1!$AE16</f>
        <v>0</v>
      </c>
      <c r="AX68">
        <f>Foglio1!$AE16</f>
        <v>0</v>
      </c>
      <c r="AY68">
        <f>Foglio1!$AE16</f>
        <v>0</v>
      </c>
      <c r="AZ68">
        <f>Foglio1!$AE16</f>
        <v>0</v>
      </c>
      <c r="BA68">
        <f>Foglio1!$AE16</f>
        <v>0</v>
      </c>
      <c r="BB68">
        <f>Foglio1!$AE16</f>
        <v>0</v>
      </c>
      <c r="BC68">
        <f>Foglio1!$AE16</f>
        <v>0</v>
      </c>
      <c r="BD68">
        <f>Foglio1!$AE16</f>
        <v>0</v>
      </c>
      <c r="BE68">
        <f>Foglio1!$AE16</f>
        <v>0</v>
      </c>
      <c r="BF68">
        <f>Foglio1!$AE16</f>
        <v>0</v>
      </c>
      <c r="BG68">
        <f>Foglio1!$AE16</f>
        <v>0</v>
      </c>
      <c r="BH68">
        <f>Foglio1!$AE16</f>
        <v>0</v>
      </c>
      <c r="BI68">
        <f>Foglio1!$AE16</f>
        <v>0</v>
      </c>
      <c r="BJ68">
        <f>Foglio1!$AE16</f>
        <v>0</v>
      </c>
      <c r="BK68">
        <f>Foglio1!$AE16</f>
        <v>0</v>
      </c>
      <c r="BL68">
        <f>Foglio1!$AE16</f>
        <v>0</v>
      </c>
      <c r="BM68">
        <f>Foglio1!$AE16</f>
        <v>0</v>
      </c>
      <c r="BN68">
        <f>Foglio1!$AE16</f>
        <v>0</v>
      </c>
      <c r="BO68">
        <f>Foglio1!$AE16</f>
        <v>0</v>
      </c>
      <c r="BP68">
        <f>Foglio1!$AE16</f>
        <v>0</v>
      </c>
      <c r="BQ68">
        <f>Foglio1!$AE16</f>
        <v>0</v>
      </c>
      <c r="BR68">
        <f>Foglio1!$AE16</f>
        <v>0</v>
      </c>
      <c r="BS68">
        <f>Foglio1!$AE16</f>
        <v>0</v>
      </c>
      <c r="BT68">
        <f>Foglio1!$AE16</f>
        <v>0</v>
      </c>
      <c r="BU68">
        <f>Foglio1!$AE16</f>
        <v>0</v>
      </c>
      <c r="BV68">
        <f>Foglio1!$AE16</f>
        <v>0</v>
      </c>
      <c r="BW68">
        <f>Foglio1!$AE16</f>
        <v>0</v>
      </c>
      <c r="BX68">
        <f>Foglio1!$AE16</f>
        <v>0</v>
      </c>
      <c r="BY68">
        <f>Foglio1!$AE16</f>
        <v>0</v>
      </c>
      <c r="BZ68">
        <f>Foglio1!$AE16</f>
        <v>0</v>
      </c>
      <c r="CA68">
        <f>Foglio1!$AE16</f>
        <v>0</v>
      </c>
      <c r="CB68">
        <f>Foglio1!$AE16</f>
        <v>0</v>
      </c>
      <c r="CC68">
        <f>Foglio1!$AE16</f>
        <v>0</v>
      </c>
      <c r="CD68">
        <f>Foglio1!$AE16</f>
        <v>0</v>
      </c>
      <c r="CE68">
        <f>Foglio1!$AE16</f>
        <v>0</v>
      </c>
      <c r="CF68">
        <f>Foglio1!$AE16</f>
        <v>0</v>
      </c>
    </row>
    <row r="69" spans="34:84" x14ac:dyDescent="0.25">
      <c r="AH69" t="s">
        <v>63</v>
      </c>
      <c r="AI69">
        <f>Foglio1!$AE17</f>
        <v>0</v>
      </c>
      <c r="AJ69">
        <f>Foglio1!$AE17</f>
        <v>0</v>
      </c>
      <c r="AK69">
        <f>Foglio1!$AE17</f>
        <v>0</v>
      </c>
      <c r="AL69">
        <f>Foglio1!$AE17</f>
        <v>0</v>
      </c>
      <c r="AM69">
        <f>Foglio1!$AE17</f>
        <v>0</v>
      </c>
      <c r="AN69">
        <f>Foglio1!$AE17</f>
        <v>0</v>
      </c>
      <c r="AO69">
        <f>Foglio1!$AE17</f>
        <v>0</v>
      </c>
      <c r="AP69">
        <f>Foglio1!$AE17</f>
        <v>0</v>
      </c>
      <c r="AQ69">
        <f>Foglio1!$AE17</f>
        <v>0</v>
      </c>
      <c r="AR69">
        <f>Foglio1!$AE17</f>
        <v>0</v>
      </c>
      <c r="AS69">
        <f>Foglio1!$AE17</f>
        <v>0</v>
      </c>
      <c r="AT69">
        <f>Foglio1!$AE17</f>
        <v>0</v>
      </c>
      <c r="AU69">
        <f>Foglio1!$AE17</f>
        <v>0</v>
      </c>
      <c r="AV69">
        <f>Foglio1!$AE17</f>
        <v>0</v>
      </c>
      <c r="AW69">
        <f>Foglio1!$AE17</f>
        <v>0</v>
      </c>
      <c r="AX69">
        <f>Foglio1!$AE17</f>
        <v>0</v>
      </c>
      <c r="AY69">
        <f>Foglio1!$AE17</f>
        <v>0</v>
      </c>
      <c r="AZ69">
        <f>Foglio1!$AE17</f>
        <v>0</v>
      </c>
      <c r="BA69">
        <f>Foglio1!$AE17</f>
        <v>0</v>
      </c>
      <c r="BB69">
        <f>Foglio1!$AE17</f>
        <v>0</v>
      </c>
      <c r="BC69">
        <f>Foglio1!$AE17</f>
        <v>0</v>
      </c>
      <c r="BD69">
        <f>Foglio1!$AE17</f>
        <v>0</v>
      </c>
      <c r="BE69">
        <f>Foglio1!$AE17</f>
        <v>0</v>
      </c>
      <c r="BF69">
        <f>Foglio1!$AE17</f>
        <v>0</v>
      </c>
      <c r="BG69">
        <f>Foglio1!$AE17</f>
        <v>0</v>
      </c>
      <c r="BH69">
        <f>Foglio1!$AE17</f>
        <v>0</v>
      </c>
      <c r="BI69">
        <f>Foglio1!$AE17</f>
        <v>0</v>
      </c>
      <c r="BJ69">
        <f>Foglio1!$AE17</f>
        <v>0</v>
      </c>
      <c r="BK69">
        <f>Foglio1!$AE17</f>
        <v>0</v>
      </c>
      <c r="BL69">
        <f>Foglio1!$AE17</f>
        <v>0</v>
      </c>
      <c r="BM69">
        <f>Foglio1!$AE17</f>
        <v>0</v>
      </c>
      <c r="BN69">
        <f>Foglio1!$AE17</f>
        <v>0</v>
      </c>
      <c r="BO69">
        <f>Foglio1!$AE17</f>
        <v>0</v>
      </c>
      <c r="BP69">
        <f>Foglio1!$AE17</f>
        <v>0</v>
      </c>
      <c r="BQ69">
        <f>Foglio1!$AE17</f>
        <v>0</v>
      </c>
      <c r="BR69">
        <f>Foglio1!$AE17</f>
        <v>0</v>
      </c>
      <c r="BS69">
        <f>Foglio1!$AE17</f>
        <v>0</v>
      </c>
      <c r="BT69">
        <f>Foglio1!$AE17</f>
        <v>0</v>
      </c>
      <c r="BU69">
        <f>Foglio1!$AE17</f>
        <v>0</v>
      </c>
      <c r="BV69">
        <f>Foglio1!$AE17</f>
        <v>0</v>
      </c>
      <c r="BW69">
        <f>Foglio1!$AE17</f>
        <v>0</v>
      </c>
      <c r="BX69">
        <f>Foglio1!$AE17</f>
        <v>0</v>
      </c>
      <c r="BY69">
        <f>Foglio1!$AE17</f>
        <v>0</v>
      </c>
      <c r="BZ69">
        <f>Foglio1!$AE17</f>
        <v>0</v>
      </c>
      <c r="CA69">
        <f>Foglio1!$AE17</f>
        <v>0</v>
      </c>
      <c r="CB69">
        <f>Foglio1!$AE17</f>
        <v>0</v>
      </c>
      <c r="CC69">
        <f>Foglio1!$AE17</f>
        <v>0</v>
      </c>
      <c r="CD69">
        <f>Foglio1!$AE17</f>
        <v>0</v>
      </c>
      <c r="CE69">
        <f>Foglio1!$AE17</f>
        <v>0</v>
      </c>
      <c r="CF69">
        <f>Foglio1!$AE17</f>
        <v>0</v>
      </c>
    </row>
    <row r="70" spans="34:84" x14ac:dyDescent="0.25">
      <c r="AH70" t="s">
        <v>64</v>
      </c>
      <c r="AI70">
        <f>Foglio1!$AE18</f>
        <v>0</v>
      </c>
      <c r="AJ70">
        <f>Foglio1!$AE18</f>
        <v>0</v>
      </c>
      <c r="AK70">
        <f>Foglio1!$AE18</f>
        <v>0</v>
      </c>
      <c r="AL70">
        <f>Foglio1!$AE18</f>
        <v>0</v>
      </c>
      <c r="AM70">
        <f>Foglio1!$AE18</f>
        <v>0</v>
      </c>
      <c r="AN70">
        <f>Foglio1!$AE18</f>
        <v>0</v>
      </c>
      <c r="AO70">
        <f>Foglio1!$AE18</f>
        <v>0</v>
      </c>
      <c r="AP70">
        <f>Foglio1!$AE18</f>
        <v>0</v>
      </c>
      <c r="AQ70">
        <f>Foglio1!$AE18</f>
        <v>0</v>
      </c>
      <c r="AR70">
        <f>Foglio1!$AE18</f>
        <v>0</v>
      </c>
      <c r="AS70">
        <f>Foglio1!$AE18</f>
        <v>0</v>
      </c>
      <c r="AT70">
        <f>Foglio1!$AE18</f>
        <v>0</v>
      </c>
      <c r="AU70">
        <f>Foglio1!$AE18</f>
        <v>0</v>
      </c>
      <c r="AV70">
        <f>Foglio1!$AE18</f>
        <v>0</v>
      </c>
      <c r="AW70">
        <f>Foglio1!$AE18</f>
        <v>0</v>
      </c>
      <c r="AX70">
        <f>Foglio1!$AE18</f>
        <v>0</v>
      </c>
      <c r="AY70">
        <f>Foglio1!$AE18</f>
        <v>0</v>
      </c>
      <c r="AZ70">
        <f>Foglio1!$AE18</f>
        <v>0</v>
      </c>
      <c r="BA70">
        <f>Foglio1!$AE18</f>
        <v>0</v>
      </c>
      <c r="BB70">
        <f>Foglio1!$AE18</f>
        <v>0</v>
      </c>
      <c r="BC70">
        <f>Foglio1!$AE18</f>
        <v>0</v>
      </c>
      <c r="BD70">
        <f>Foglio1!$AE18</f>
        <v>0</v>
      </c>
      <c r="BE70">
        <f>Foglio1!$AE18</f>
        <v>0</v>
      </c>
      <c r="BF70">
        <f>Foglio1!$AE18</f>
        <v>0</v>
      </c>
      <c r="BG70">
        <f>Foglio1!$AE18</f>
        <v>0</v>
      </c>
      <c r="BH70">
        <f>Foglio1!$AE18</f>
        <v>0</v>
      </c>
      <c r="BI70">
        <f>Foglio1!$AE18</f>
        <v>0</v>
      </c>
      <c r="BJ70">
        <f>Foglio1!$AE18</f>
        <v>0</v>
      </c>
      <c r="BK70">
        <f>Foglio1!$AE18</f>
        <v>0</v>
      </c>
      <c r="BL70">
        <f>Foglio1!$AE18</f>
        <v>0</v>
      </c>
      <c r="BM70">
        <f>Foglio1!$AE18</f>
        <v>0</v>
      </c>
      <c r="BN70">
        <f>Foglio1!$AE18</f>
        <v>0</v>
      </c>
      <c r="BO70">
        <f>Foglio1!$AE18</f>
        <v>0</v>
      </c>
      <c r="BP70">
        <f>Foglio1!$AE18</f>
        <v>0</v>
      </c>
      <c r="BQ70">
        <f>Foglio1!$AE18</f>
        <v>0</v>
      </c>
      <c r="BR70">
        <f>Foglio1!$AE18</f>
        <v>0</v>
      </c>
      <c r="BS70">
        <f>Foglio1!$AE18</f>
        <v>0</v>
      </c>
      <c r="BT70">
        <f>Foglio1!$AE18</f>
        <v>0</v>
      </c>
      <c r="BU70">
        <f>Foglio1!$AE18</f>
        <v>0</v>
      </c>
      <c r="BV70">
        <f>Foglio1!$AE18</f>
        <v>0</v>
      </c>
      <c r="BW70">
        <f>Foglio1!$AE18</f>
        <v>0</v>
      </c>
      <c r="BX70">
        <f>Foglio1!$AE18</f>
        <v>0</v>
      </c>
      <c r="BY70">
        <f>Foglio1!$AE18</f>
        <v>0</v>
      </c>
      <c r="BZ70">
        <f>Foglio1!$AE18</f>
        <v>0</v>
      </c>
      <c r="CA70">
        <f>Foglio1!$AE18</f>
        <v>0</v>
      </c>
      <c r="CB70">
        <f>Foglio1!$AE18</f>
        <v>0</v>
      </c>
      <c r="CC70">
        <f>Foglio1!$AE18</f>
        <v>0</v>
      </c>
      <c r="CD70">
        <f>Foglio1!$AE18</f>
        <v>0</v>
      </c>
      <c r="CE70">
        <f>Foglio1!$AE18</f>
        <v>0</v>
      </c>
      <c r="CF70">
        <f>Foglio1!$AE18</f>
        <v>0</v>
      </c>
    </row>
    <row r="71" spans="34:84" x14ac:dyDescent="0.25">
      <c r="AH71" t="s">
        <v>65</v>
      </c>
      <c r="AI71">
        <f>Foglio1!$AE19</f>
        <v>0</v>
      </c>
      <c r="AJ71">
        <f>Foglio1!$AE19</f>
        <v>0</v>
      </c>
      <c r="AK71">
        <f>Foglio1!$AE19</f>
        <v>0</v>
      </c>
      <c r="AL71">
        <f>Foglio1!$AE19</f>
        <v>0</v>
      </c>
      <c r="AM71">
        <f>Foglio1!$AE19</f>
        <v>0</v>
      </c>
      <c r="AN71">
        <f>Foglio1!$AE19</f>
        <v>0</v>
      </c>
      <c r="AO71">
        <f>Foglio1!$AE19</f>
        <v>0</v>
      </c>
      <c r="AP71">
        <f>Foglio1!$AE19</f>
        <v>0</v>
      </c>
      <c r="AQ71">
        <f>Foglio1!$AE19</f>
        <v>0</v>
      </c>
      <c r="AR71">
        <f>Foglio1!$AE19</f>
        <v>0</v>
      </c>
      <c r="AS71">
        <f>Foglio1!$AE19</f>
        <v>0</v>
      </c>
      <c r="AT71">
        <f>Foglio1!$AE19</f>
        <v>0</v>
      </c>
      <c r="AU71">
        <f>Foglio1!$AE19</f>
        <v>0</v>
      </c>
      <c r="AV71">
        <f>Foglio1!$AE19</f>
        <v>0</v>
      </c>
      <c r="AW71">
        <f>Foglio1!$AE19</f>
        <v>0</v>
      </c>
      <c r="AX71">
        <f>Foglio1!$AE19</f>
        <v>0</v>
      </c>
      <c r="AY71">
        <f>Foglio1!$AE19</f>
        <v>0</v>
      </c>
      <c r="AZ71">
        <f>Foglio1!$AE19</f>
        <v>0</v>
      </c>
      <c r="BA71">
        <f>Foglio1!$AE19</f>
        <v>0</v>
      </c>
      <c r="BB71">
        <f>Foglio1!$AE19</f>
        <v>0</v>
      </c>
      <c r="BC71">
        <f>Foglio1!$AE19</f>
        <v>0</v>
      </c>
      <c r="BD71">
        <f>Foglio1!$AE19</f>
        <v>0</v>
      </c>
      <c r="BE71">
        <f>Foglio1!$AE19</f>
        <v>0</v>
      </c>
      <c r="BF71">
        <f>Foglio1!$AE19</f>
        <v>0</v>
      </c>
      <c r="BG71">
        <f>Foglio1!$AE19</f>
        <v>0</v>
      </c>
      <c r="BH71">
        <f>Foglio1!$AE19</f>
        <v>0</v>
      </c>
      <c r="BI71">
        <f>Foglio1!$AE19</f>
        <v>0</v>
      </c>
      <c r="BJ71">
        <f>Foglio1!$AE19</f>
        <v>0</v>
      </c>
      <c r="BK71">
        <f>Foglio1!$AE19</f>
        <v>0</v>
      </c>
      <c r="BL71">
        <f>Foglio1!$AE19</f>
        <v>0</v>
      </c>
      <c r="BM71">
        <f>Foglio1!$AE19</f>
        <v>0</v>
      </c>
      <c r="BN71">
        <f>Foglio1!$AE19</f>
        <v>0</v>
      </c>
      <c r="BO71">
        <f>Foglio1!$AE19</f>
        <v>0</v>
      </c>
      <c r="BP71">
        <f>Foglio1!$AE19</f>
        <v>0</v>
      </c>
      <c r="BQ71">
        <f>Foglio1!$AE19</f>
        <v>0</v>
      </c>
      <c r="BR71">
        <f>Foglio1!$AE19</f>
        <v>0</v>
      </c>
      <c r="BS71">
        <f>Foglio1!$AE19</f>
        <v>0</v>
      </c>
      <c r="BT71">
        <f>Foglio1!$AE19</f>
        <v>0</v>
      </c>
      <c r="BU71">
        <f>Foglio1!$AE19</f>
        <v>0</v>
      </c>
      <c r="BV71">
        <f>Foglio1!$AE19</f>
        <v>0</v>
      </c>
      <c r="BW71">
        <f>Foglio1!$AE19</f>
        <v>0</v>
      </c>
      <c r="BX71">
        <f>Foglio1!$AE19</f>
        <v>0</v>
      </c>
      <c r="BY71">
        <f>Foglio1!$AE19</f>
        <v>0</v>
      </c>
      <c r="BZ71">
        <f>Foglio1!$AE19</f>
        <v>0</v>
      </c>
      <c r="CA71">
        <f>Foglio1!$AE19</f>
        <v>0</v>
      </c>
      <c r="CB71">
        <f>Foglio1!$AE19</f>
        <v>0</v>
      </c>
      <c r="CC71">
        <f>Foglio1!$AE19</f>
        <v>0</v>
      </c>
      <c r="CD71">
        <f>Foglio1!$AE19</f>
        <v>0</v>
      </c>
      <c r="CE71">
        <f>Foglio1!$AE19</f>
        <v>0</v>
      </c>
      <c r="CF71">
        <f>Foglio1!$AE19</f>
        <v>0</v>
      </c>
    </row>
    <row r="72" spans="34:84" x14ac:dyDescent="0.25">
      <c r="AH72" t="s">
        <v>66</v>
      </c>
      <c r="AI72">
        <f>EXP(Foglio1!$C10-Foglio1!$D10/(Foglio1!$E10+Foglio2!AI$61))*Foglio2!AI62/Foglio1!$D$5</f>
        <v>9.4720132897091608E-3</v>
      </c>
      <c r="AJ72">
        <f>EXP(Foglio1!$C10-Foglio1!$D10/(Foglio1!$E10+Foglio2!AJ$61))*Foglio2!AJ62/Foglio1!$D$5</f>
        <v>3.5623772695117946E-3</v>
      </c>
      <c r="AK72">
        <f>EXP(Foglio1!$C10-Foglio1!$D10/(Foglio1!$E10+Foglio2!AK$61))*Foglio2!AK62/Foglio1!$D$5</f>
        <v>6.0611447314802905E-3</v>
      </c>
      <c r="AL72">
        <f>EXP(Foglio1!$C10-Foglio1!$D10/(Foglio1!$E10+Foglio2!AL$61))*Foglio2!AL62/Foglio1!$D$5</f>
        <v>7.6478160084713625E-3</v>
      </c>
      <c r="AM72">
        <f>EXP(Foglio1!$C10-Foglio1!$D10/(Foglio1!$E10+Foglio2!AM$61))*Foglio2!AM62/Foglio1!$D$5</f>
        <v>8.5297791827548004E-3</v>
      </c>
      <c r="AN72">
        <f>EXP(Foglio1!$C10-Foglio1!$D10/(Foglio1!$E10+Foglio2!AN$61))*Foglio2!AN62/Foglio1!$D$5</f>
        <v>8.993315797928109E-3</v>
      </c>
      <c r="AO72">
        <f>EXP(Foglio1!$C10-Foglio1!$D10/(Foglio1!$E10+Foglio2!AO$61))*Foglio2!AO62/Foglio1!$D$5</f>
        <v>8.7596578075563314E-3</v>
      </c>
      <c r="AP72">
        <f>EXP(Foglio1!$C10-Foglio1!$D10/(Foglio1!$E10+Foglio2!AP$61))*Foglio2!AP62/Foglio1!$D$5</f>
        <v>8.8760136792598917E-3</v>
      </c>
      <c r="AQ72">
        <f>EXP(Foglio1!$C10-Foglio1!$D10/(Foglio1!$E10+Foglio2!AQ$61))*Foglio2!AQ62/Foglio1!$D$5</f>
        <v>8.9345463720219322E-3</v>
      </c>
      <c r="AR72">
        <f>EXP(Foglio1!$C10-Foglio1!$D10/(Foglio1!$E10+Foglio2!AR$61))*Foglio2!AR62/Foglio1!$D$5</f>
        <v>8.9052504446150062E-3</v>
      </c>
      <c r="AS72">
        <f>EXP(Foglio1!$C10-Foglio1!$D10/(Foglio1!$E10+Foglio2!AS$61))*Foglio2!AS62/Foglio1!$D$5</f>
        <v>8.8906246680164544E-3</v>
      </c>
      <c r="AT72">
        <f>EXP(Foglio1!$C10-Foglio1!$D10/(Foglio1!$E10+Foglio2!AT$61))*Foglio2!AT62/Foglio1!$D$5</f>
        <v>8.897935707668175E-3</v>
      </c>
      <c r="AU72">
        <f>EXP(Foglio1!$C10-Foglio1!$D10/(Foglio1!$E10+Foglio2!AU$61))*Foglio2!AU62/Foglio1!$D$5</f>
        <v>8.901592613958835E-3</v>
      </c>
      <c r="AV72">
        <f>EXP(Foglio1!$C10-Foglio1!$D10/(Foglio1!$E10+Foglio2!AV$61))*Foglio2!AV62/Foglio1!$D$5</f>
        <v>8.903421413738611E-3</v>
      </c>
      <c r="AW72">
        <f>EXP(Foglio1!$C10-Foglio1!$D10/(Foglio1!$E10+Foglio2!AW$61))*Foglio2!AW62/Foglio1!$D$5</f>
        <v>8.9025069849619741E-3</v>
      </c>
      <c r="AX72">
        <f>EXP(Foglio1!$C10-Foglio1!$D10/(Foglio1!$E10+Foglio2!AX$61))*Foglio2!AX62/Foglio1!$D$5</f>
        <v>8.9020497922387611E-3</v>
      </c>
      <c r="AY72">
        <f>EXP(Foglio1!$C10-Foglio1!$D10/(Foglio1!$E10+Foglio2!AY$61))*Foglio2!AY62/Foglio1!$D$5</f>
        <v>8.9022783867949325E-3</v>
      </c>
      <c r="AZ72">
        <f>EXP(Foglio1!$C10-Foglio1!$D10/(Foglio1!$E10+Foglio2!AZ$61))*Foglio2!AZ62/Foglio1!$D$5</f>
        <v>8.9023926854271147E-3</v>
      </c>
      <c r="BA72">
        <f>EXP(Foglio1!$C10-Foglio1!$D10/(Foglio1!$E10+Foglio2!BA$61))*Foglio2!BA62/Foglio1!$D$5</f>
        <v>8.9024498350816911E-3</v>
      </c>
      <c r="BB72">
        <f>EXP(Foglio1!$C10-Foglio1!$D10/(Foglio1!$E10+Foglio2!BB$61))*Foglio2!BB62/Foglio1!$D$5</f>
        <v>8.9024784099936277E-3</v>
      </c>
      <c r="BC72">
        <f>EXP(Foglio1!$C10-Foglio1!$D10/(Foglio1!$E10+Foglio2!BC$61))*Foglio2!BC62/Foglio1!$D$5</f>
        <v>8.9024926974707493E-3</v>
      </c>
      <c r="BD72">
        <f>EXP(Foglio1!$C10-Foglio1!$D10/(Foglio1!$E10+Foglio2!BD$61))*Foglio2!BD62/Foglio1!$D$5</f>
        <v>8.9024855537304225E-3</v>
      </c>
      <c r="BE72">
        <f>EXP(Foglio1!$C10-Foglio1!$D10/(Foglio1!$E10+Foglio2!BE$61))*Foglio2!BE62/Foglio1!$D$5</f>
        <v>8.9024891256001461E-3</v>
      </c>
      <c r="BF72">
        <f>EXP(Foglio1!$C10-Foglio1!$D10/(Foglio1!$E10+Foglio2!BF$61))*Foglio2!BF62/Foglio1!$D$5</f>
        <v>8.9024909115353393E-3</v>
      </c>
      <c r="BG72">
        <f>EXP(Foglio1!$C10-Foglio1!$D10/(Foglio1!$E10+Foglio2!BG$61))*Foglio2!BG62/Foglio1!$D$5</f>
        <v>8.9024900185677141E-3</v>
      </c>
      <c r="BH72">
        <f>EXP(Foglio1!$C10-Foglio1!$D10/(Foglio1!$E10+Foglio2!BH$61))*Foglio2!BH62/Foglio1!$D$5</f>
        <v>8.9024904650515067E-3</v>
      </c>
      <c r="BI72">
        <f>EXP(Foglio1!$C10-Foglio1!$D10/(Foglio1!$E10+Foglio2!BI$61))*Foglio2!BI62/Foglio1!$D$5</f>
        <v>8.9024902418096078E-3</v>
      </c>
      <c r="BJ72">
        <f>EXP(Foglio1!$C10-Foglio1!$D10/(Foglio1!$E10+Foglio2!BJ$61))*Foglio2!BJ62/Foglio1!$D$5</f>
        <v>8.902490353430572E-3</v>
      </c>
      <c r="BK72">
        <f>EXP(Foglio1!$C10-Foglio1!$D10/(Foglio1!$E10+Foglio2!BK$61))*Foglio2!BK62/Foglio1!$D$5</f>
        <v>8.9024904092410394E-3</v>
      </c>
      <c r="BL72">
        <f>EXP(Foglio1!$C10-Foglio1!$D10/(Foglio1!$E10+Foglio2!BL$61))*Foglio2!BL62/Foglio1!$D$5</f>
        <v>8.902490381335797E-3</v>
      </c>
      <c r="BM72">
        <f>EXP(Foglio1!$C10-Foglio1!$D10/(Foglio1!$E10+Foglio2!BM$61))*Foglio2!BM62/Foglio1!$D$5</f>
        <v>8.9024903673831854E-3</v>
      </c>
      <c r="BN72">
        <f>EXP(Foglio1!$C10-Foglio1!$D10/(Foglio1!$E10+Foglio2!BN$61))*Foglio2!BN62/Foglio1!$D$5</f>
        <v>8.90249036040687E-3</v>
      </c>
      <c r="BO72">
        <f>EXP(Foglio1!$C10-Foglio1!$D10/(Foglio1!$E10+Foglio2!BO$61))*Foglio2!BO62/Foglio1!$D$5</f>
        <v>8.9024903569187314E-3</v>
      </c>
      <c r="BP72">
        <f>EXP(Foglio1!$C10-Foglio1!$D10/(Foglio1!$E10+Foglio2!BP$61))*Foglio2!BP62/Foglio1!$D$5</f>
        <v>8.9024903586627912E-3</v>
      </c>
      <c r="BQ72">
        <f>EXP(Foglio1!$C10-Foglio1!$D10/(Foglio1!$E10+Foglio2!BQ$61))*Foglio2!BQ62/Foglio1!$D$5</f>
        <v>8.9024903595348402E-3</v>
      </c>
      <c r="BR72">
        <f>EXP(Foglio1!$C10-Foglio1!$D10/(Foglio1!$E10+Foglio2!BR$61))*Foglio2!BR62/Foglio1!$D$5</f>
        <v>8.9024903590988174E-3</v>
      </c>
      <c r="BS72">
        <f>EXP(Foglio1!$C10-Foglio1!$D10/(Foglio1!$E10+Foglio2!BS$61))*Foglio2!BS62/Foglio1!$D$5</f>
        <v>8.902490359316827E-3</v>
      </c>
      <c r="BT72">
        <f>EXP(Foglio1!$C10-Foglio1!$D10/(Foglio1!$E10+Foglio2!BT$61))*Foglio2!BT62/Foglio1!$D$5</f>
        <v>8.9024903594258336E-3</v>
      </c>
      <c r="BU72">
        <f>EXP(Foglio1!$C10-Foglio1!$D10/(Foglio1!$E10+Foglio2!BU$61))*Foglio2!BU62/Foglio1!$D$5</f>
        <v>8.9024903593713234E-3</v>
      </c>
      <c r="BV72">
        <f>EXP(Foglio1!$C10-Foglio1!$D10/(Foglio1!$E10+Foglio2!BV$61))*Foglio2!BV62/Foglio1!$D$5</f>
        <v>8.9024903593440761E-3</v>
      </c>
      <c r="BW72">
        <f>EXP(Foglio1!$C10-Foglio1!$D10/(Foglio1!$E10+Foglio2!BW$61))*Foglio2!BW62/Foglio1!$D$5</f>
        <v>8.9024903593304585E-3</v>
      </c>
      <c r="BX72">
        <f>EXP(Foglio1!$C10-Foglio1!$D10/(Foglio1!$E10+Foglio2!BX$61))*Foglio2!BX62/Foglio1!$D$5</f>
        <v>8.9024903593372604E-3</v>
      </c>
      <c r="BY72">
        <f>EXP(Foglio1!$C10-Foglio1!$D10/(Foglio1!$E10+Foglio2!BY$61))*Foglio2!BY62/Foglio1!$D$5</f>
        <v>8.9024903593338586E-3</v>
      </c>
      <c r="BZ72">
        <f>EXP(Foglio1!$C10-Foglio1!$D10/(Foglio1!$E10+Foglio2!BZ$61))*Foglio2!BZ62/Foglio1!$D$5</f>
        <v>8.9024903593321516E-3</v>
      </c>
      <c r="CA72">
        <f>EXP(Foglio1!$C10-Foglio1!$D10/(Foglio1!$E10+Foglio2!CA$61))*Foglio2!CA62/Foglio1!$D$5</f>
        <v>8.9024903593313137E-3</v>
      </c>
      <c r="CB72">
        <f>EXP(Foglio1!$C10-Foglio1!$D10/(Foglio1!$E10+Foglio2!CB$61))*Foglio2!CB62/Foglio1!$D$5</f>
        <v>8.9024903593308696E-3</v>
      </c>
      <c r="CC72">
        <f>EXP(Foglio1!$C10-Foglio1!$D10/(Foglio1!$E10+Foglio2!CC$61))*Foglio2!CC62/Foglio1!$D$5</f>
        <v>8.9024903593310917E-3</v>
      </c>
      <c r="CD72">
        <f>EXP(Foglio1!$C10-Foglio1!$D10/(Foglio1!$E10+Foglio2!CD$61))*Foglio2!CD62/Foglio1!$D$5</f>
        <v>8.9024903593311871E-3</v>
      </c>
      <c r="CE72">
        <f>EXP(Foglio1!$C10-Foglio1!$D10/(Foglio1!$E10+Foglio2!CE$61))*Foglio2!CE62/Foglio1!$D$5</f>
        <v>8.9024903593311559E-3</v>
      </c>
      <c r="CF72">
        <f>EXP(Foglio1!$C10-Foglio1!$D10/(Foglio1!$E10+Foglio2!CF$61))*Foglio2!CF62/Foglio1!$D$5</f>
        <v>8.9024903593311715E-3</v>
      </c>
    </row>
    <row r="73" spans="34:84" x14ac:dyDescent="0.25">
      <c r="AH73" t="s">
        <v>67</v>
      </c>
      <c r="AI73">
        <f>EXP(Foglio1!$C11-Foglio1!$D11/(Foglio1!$E11+Foglio2!AI$61))*Foglio2!AI63/Foglio1!$D$5</f>
        <v>1.0165494438671138E-2</v>
      </c>
      <c r="AJ73">
        <f>EXP(Foglio1!$C11-Foglio1!$D11/(Foglio1!$E11+Foglio2!AJ$61))*Foglio2!AJ63/Foglio1!$D$5</f>
        <v>3.3352034791040712E-3</v>
      </c>
      <c r="AK73">
        <f>EXP(Foglio1!$C11-Foglio1!$D11/(Foglio1!$E11+Foglio2!AK$61))*Foglio2!AK63/Foglio1!$D$5</f>
        <v>6.119000376048303E-3</v>
      </c>
      <c r="AL73">
        <f>EXP(Foglio1!$C11-Foglio1!$D11/(Foglio1!$E11+Foglio2!AL$61))*Foglio2!AL63/Foglio1!$D$5</f>
        <v>7.9726737680756339E-3</v>
      </c>
      <c r="AM73">
        <f>EXP(Foglio1!$C11-Foglio1!$D11/(Foglio1!$E11+Foglio2!AM$61))*Foglio2!AM63/Foglio1!$D$5</f>
        <v>9.0254228044977687E-3</v>
      </c>
      <c r="AN73">
        <f>EXP(Foglio1!$C11-Foglio1!$D11/(Foglio1!$E11+Foglio2!AN$61))*Foglio2!AN63/Foglio1!$D$5</f>
        <v>9.5843977088317673E-3</v>
      </c>
      <c r="AO73">
        <f>EXP(Foglio1!$C11-Foglio1!$D11/(Foglio1!$E11+Foglio2!AO$61))*Foglio2!AO63/Foglio1!$D$5</f>
        <v>9.30216264735911E-3</v>
      </c>
      <c r="AP73">
        <f>EXP(Foglio1!$C11-Foglio1!$D11/(Foglio1!$E11+Foglio2!AP$61))*Foglio2!AP63/Foglio1!$D$5</f>
        <v>9.4425910371351198E-3</v>
      </c>
      <c r="AQ73">
        <f>EXP(Foglio1!$C11-Foglio1!$D11/(Foglio1!$E11+Foglio2!AQ$61))*Foglio2!AQ63/Foglio1!$D$5</f>
        <v>9.5133218110871436E-3</v>
      </c>
      <c r="AR73">
        <f>EXP(Foglio1!$C11-Foglio1!$D11/(Foglio1!$E11+Foglio2!AR$61))*Foglio2!AR63/Foglio1!$D$5</f>
        <v>9.4779133180773953E-3</v>
      </c>
      <c r="AS73">
        <f>EXP(Foglio1!$C11-Foglio1!$D11/(Foglio1!$E11+Foglio2!AS$61))*Foglio2!AS63/Foglio1!$D$5</f>
        <v>9.4602414054152581E-3</v>
      </c>
      <c r="AT73">
        <f>EXP(Foglio1!$C11-Foglio1!$D11/(Foglio1!$E11+Foglio2!AT$61))*Foglio2!AT63/Foglio1!$D$5</f>
        <v>9.4690746681583508E-3</v>
      </c>
      <c r="AU73">
        <f>EXP(Foglio1!$C11-Foglio1!$D11/(Foglio1!$E11+Foglio2!AU$61))*Foglio2!AU63/Foglio1!$D$5</f>
        <v>9.4734933196534057E-3</v>
      </c>
      <c r="AV73">
        <f>EXP(Foglio1!$C11-Foglio1!$D11/(Foglio1!$E11+Foglio2!AV$61))*Foglio2!AV63/Foglio1!$D$5</f>
        <v>9.4757031504908492E-3</v>
      </c>
      <c r="AW73">
        <f>EXP(Foglio1!$C11-Foglio1!$D11/(Foglio1!$E11+Foglio2!AW$61))*Foglio2!AW63/Foglio1!$D$5</f>
        <v>9.4745981929795428E-3</v>
      </c>
      <c r="AX73">
        <f>EXP(Foglio1!$C11-Foglio1!$D11/(Foglio1!$E11+Foglio2!AX$61))*Foglio2!AX63/Foglio1!$D$5</f>
        <v>9.4740457457934621E-3</v>
      </c>
      <c r="AY73">
        <f>EXP(Foglio1!$C11-Foglio1!$D11/(Foglio1!$E11+Foglio2!AY$61))*Foglio2!AY63/Foglio1!$D$5</f>
        <v>9.4743219667557266E-3</v>
      </c>
      <c r="AZ73">
        <f>EXP(Foglio1!$C11-Foglio1!$D11/(Foglio1!$E11+Foglio2!AZ$61))*Foglio2!AZ63/Foglio1!$D$5</f>
        <v>9.4744600792099464E-3</v>
      </c>
      <c r="BA73">
        <f>EXP(Foglio1!$C11-Foglio1!$D11/(Foglio1!$E11+Foglio2!BA$61))*Foglio2!BA63/Foglio1!$D$5</f>
        <v>9.4745291359303249E-3</v>
      </c>
      <c r="BB73">
        <f>EXP(Foglio1!$C11-Foglio1!$D11/(Foglio1!$E11+Foglio2!BB$61))*Foglio2!BB63/Foglio1!$D$5</f>
        <v>9.4745636644138296E-3</v>
      </c>
      <c r="BC73">
        <f>EXP(Foglio1!$C11-Foglio1!$D11/(Foglio1!$E11+Foglio2!BC$61))*Foglio2!BC63/Foglio1!$D$5</f>
        <v>9.4745809286864192E-3</v>
      </c>
      <c r="BD73">
        <f>EXP(Foglio1!$C11-Foglio1!$D11/(Foglio1!$E11+Foglio2!BD$61))*Foglio2!BD63/Foglio1!$D$5</f>
        <v>9.4745722965475457E-3</v>
      </c>
      <c r="BE73">
        <f>EXP(Foglio1!$C11-Foglio1!$D11/(Foglio1!$E11+Foglio2!BE$61))*Foglio2!BE63/Foglio1!$D$5</f>
        <v>9.4745766126163363E-3</v>
      </c>
      <c r="BF73">
        <f>EXP(Foglio1!$C11-Foglio1!$D11/(Foglio1!$E11+Foglio2!BF$61))*Foglio2!BF63/Foglio1!$D$5</f>
        <v>9.4745787706512138E-3</v>
      </c>
      <c r="BG73">
        <f>EXP(Foglio1!$C11-Foglio1!$D11/(Foglio1!$E11+Foglio2!BG$61))*Foglio2!BG63/Foglio1!$D$5</f>
        <v>9.4745776916337308E-3</v>
      </c>
      <c r="BH73">
        <f>EXP(Foglio1!$C11-Foglio1!$D11/(Foglio1!$E11+Foglio2!BH$61))*Foglio2!BH63/Foglio1!$D$5</f>
        <v>9.4745782311424671E-3</v>
      </c>
      <c r="BI73">
        <f>EXP(Foglio1!$C11-Foglio1!$D11/(Foglio1!$E11+Foglio2!BI$61))*Foglio2!BI63/Foglio1!$D$5</f>
        <v>9.4745779613880868E-3</v>
      </c>
      <c r="BJ73">
        <f>EXP(Foglio1!$C11-Foglio1!$D11/(Foglio1!$E11+Foglio2!BJ$61))*Foglio2!BJ63/Foglio1!$D$5</f>
        <v>9.4745780962652744E-3</v>
      </c>
      <c r="BK73">
        <f>EXP(Foglio1!$C11-Foglio1!$D11/(Foglio1!$E11+Foglio2!BK$61))*Foglio2!BK63/Foglio1!$D$5</f>
        <v>9.4745781637038638E-3</v>
      </c>
      <c r="BL73">
        <f>EXP(Foglio1!$C11-Foglio1!$D11/(Foglio1!$E11+Foglio2!BL$61))*Foglio2!BL63/Foglio1!$D$5</f>
        <v>9.474578129984576E-3</v>
      </c>
      <c r="BM73">
        <f>EXP(Foglio1!$C11-Foglio1!$D11/(Foglio1!$E11+Foglio2!BM$61))*Foglio2!BM63/Foglio1!$D$5</f>
        <v>9.474578113124927E-3</v>
      </c>
      <c r="BN73">
        <f>EXP(Foglio1!$C11-Foglio1!$D11/(Foglio1!$E11+Foglio2!BN$61))*Foglio2!BN63/Foglio1!$D$5</f>
        <v>9.4745781046951007E-3</v>
      </c>
      <c r="BO73">
        <f>EXP(Foglio1!$C11-Foglio1!$D11/(Foglio1!$E11+Foglio2!BO$61))*Foglio2!BO63/Foglio1!$D$5</f>
        <v>9.4745781004801875E-3</v>
      </c>
      <c r="BP73">
        <f>EXP(Foglio1!$C11-Foglio1!$D11/(Foglio1!$E11+Foglio2!BP$61))*Foglio2!BP63/Foglio1!$D$5</f>
        <v>9.4745781025876354E-3</v>
      </c>
      <c r="BQ73">
        <f>EXP(Foglio1!$C11-Foglio1!$D11/(Foglio1!$E11+Foglio2!BQ$61))*Foglio2!BQ63/Foglio1!$D$5</f>
        <v>9.4745781036413776E-3</v>
      </c>
      <c r="BR73">
        <f>EXP(Foglio1!$C11-Foglio1!$D11/(Foglio1!$E11+Foglio2!BR$61))*Foglio2!BR63/Foglio1!$D$5</f>
        <v>9.4745781031145056E-3</v>
      </c>
      <c r="BS73">
        <f>EXP(Foglio1!$C11-Foglio1!$D11/(Foglio1!$E11+Foglio2!BS$61))*Foglio2!BS63/Foglio1!$D$5</f>
        <v>9.4745781033779494E-3</v>
      </c>
      <c r="BT73">
        <f>EXP(Foglio1!$C11-Foglio1!$D11/(Foglio1!$E11+Foglio2!BT$61))*Foglio2!BT63/Foglio1!$D$5</f>
        <v>9.4745781035096652E-3</v>
      </c>
      <c r="BU73">
        <f>EXP(Foglio1!$C11-Foglio1!$D11/(Foglio1!$E11+Foglio2!BU$61))*Foglio2!BU63/Foglio1!$D$5</f>
        <v>9.4745781034437891E-3</v>
      </c>
      <c r="BV73">
        <f>EXP(Foglio1!$C11-Foglio1!$D11/(Foglio1!$E11+Foglio2!BV$61))*Foglio2!BV63/Foglio1!$D$5</f>
        <v>9.4745781034108693E-3</v>
      </c>
      <c r="BW73">
        <f>EXP(Foglio1!$C11-Foglio1!$D11/(Foglio1!$E11+Foglio2!BW$61))*Foglio2!BW63/Foglio1!$D$5</f>
        <v>9.4745781033944102E-3</v>
      </c>
      <c r="BX73">
        <f>EXP(Foglio1!$C11-Foglio1!$D11/(Foglio1!$E11+Foglio2!BX$61))*Foglio2!BX63/Foglio1!$D$5</f>
        <v>9.4745781034026224E-3</v>
      </c>
      <c r="BY73">
        <f>EXP(Foglio1!$C11-Foglio1!$D11/(Foglio1!$E11+Foglio2!BY$61))*Foglio2!BY63/Foglio1!$D$5</f>
        <v>9.4745781033985163E-3</v>
      </c>
      <c r="BZ73">
        <f>EXP(Foglio1!$C11-Foglio1!$D11/(Foglio1!$E11+Foglio2!BZ$61))*Foglio2!BZ63/Foglio1!$D$5</f>
        <v>9.4745781033964624E-3</v>
      </c>
      <c r="CA73">
        <f>EXP(Foglio1!$C11-Foglio1!$D11/(Foglio1!$E11+Foglio2!CA$61))*Foglio2!CA63/Foglio1!$D$5</f>
        <v>9.4745781033954372E-3</v>
      </c>
      <c r="CB73">
        <f>EXP(Foglio1!$C11-Foglio1!$D11/(Foglio1!$E11+Foglio2!CB$61))*Foglio2!CB63/Foglio1!$D$5</f>
        <v>9.474578103394915E-3</v>
      </c>
      <c r="CC73">
        <f>EXP(Foglio1!$C11-Foglio1!$D11/(Foglio1!$E11+Foglio2!CC$61))*Foglio2!CC63/Foglio1!$D$5</f>
        <v>9.4745781033951856E-3</v>
      </c>
      <c r="CD73">
        <f>EXP(Foglio1!$C11-Foglio1!$D11/(Foglio1!$E11+Foglio2!CD$61))*Foglio2!CD63/Foglio1!$D$5</f>
        <v>9.4745781033953192E-3</v>
      </c>
      <c r="CE73">
        <f>EXP(Foglio1!$C11-Foglio1!$D11/(Foglio1!$E11+Foglio2!CE$61))*Foglio2!CE63/Foglio1!$D$5</f>
        <v>9.4745781033952516E-3</v>
      </c>
      <c r="CF73">
        <f>EXP(Foglio1!$C11-Foglio1!$D11/(Foglio1!$E11+Foglio2!CF$61))*Foglio2!CF63/Foglio1!$D$5</f>
        <v>9.4745781033952862E-3</v>
      </c>
    </row>
    <row r="74" spans="34:84" x14ac:dyDescent="0.25">
      <c r="AH74" t="s">
        <v>68</v>
      </c>
      <c r="AI74">
        <f>EXP(Foglio1!$C12-Foglio1!$D12/(Foglio1!$E12+Foglio2!AI$61))*Foglio2!AI64/Foglio1!$D$5</f>
        <v>2.647296255199201E-2</v>
      </c>
      <c r="AJ74">
        <f>EXP(Foglio1!$C12-Foglio1!$D12/(Foglio1!$E12+Foglio2!AJ$61))*Foglio2!AJ64/Foglio1!$D$5</f>
        <v>8.0477064844760842E-3</v>
      </c>
      <c r="AK74">
        <f>EXP(Foglio1!$C12-Foglio1!$D12/(Foglio1!$E12+Foglio2!AK$61))*Foglio2!AK64/Foglio1!$D$5</f>
        <v>1.5394203558645278E-2</v>
      </c>
      <c r="AL74">
        <f>EXP(Foglio1!$C12-Foglio1!$D12/(Foglio1!$E12+Foglio2!AL$61))*Foglio2!AL64/Foglio1!$D$5</f>
        <v>2.0422918273100304E-2</v>
      </c>
      <c r="AM74">
        <f>EXP(Foglio1!$C12-Foglio1!$D12/(Foglio1!$E12+Foglio2!AM$61))*Foglio2!AM64/Foglio1!$D$5</f>
        <v>2.3315272516687129E-2</v>
      </c>
      <c r="AN74">
        <f>EXP(Foglio1!$C12-Foglio1!$D12/(Foglio1!$E12+Foglio2!AN$61))*Foglio2!AN64/Foglio1!$D$5</f>
        <v>2.4860360677098407E-2</v>
      </c>
      <c r="AO74">
        <f>EXP(Foglio1!$C12-Foglio1!$D12/(Foglio1!$E12+Foglio2!AO$61))*Foglio2!AO64/Foglio1!$D$5</f>
        <v>2.4079449496150259E-2</v>
      </c>
      <c r="AP74">
        <f>EXP(Foglio1!$C12-Foglio1!$D12/(Foglio1!$E12+Foglio2!AP$61))*Foglio2!AP64/Foglio1!$D$5</f>
        <v>2.4467804194885097E-2</v>
      </c>
      <c r="AQ74">
        <f>EXP(Foglio1!$C12-Foglio1!$D12/(Foglio1!$E12+Foglio2!AQ$61))*Foglio2!AQ64/Foglio1!$D$5</f>
        <v>2.4663556082411255E-2</v>
      </c>
      <c r="AR74">
        <f>EXP(Foglio1!$C12-Foglio1!$D12/(Foglio1!$E12+Foglio2!AR$61))*Foglio2!AR64/Foglio1!$D$5</f>
        <v>2.4565548691184297E-2</v>
      </c>
      <c r="AS74">
        <f>EXP(Foglio1!$C12-Foglio1!$D12/(Foglio1!$E12+Foglio2!AS$61))*Foglio2!AS64/Foglio1!$D$5</f>
        <v>2.4516643598820123E-2</v>
      </c>
      <c r="AT74">
        <f>EXP(Foglio1!$C12-Foglio1!$D12/(Foglio1!$E12+Foglio2!AT$61))*Foglio2!AT64/Foglio1!$D$5</f>
        <v>2.4541087931740611E-2</v>
      </c>
      <c r="AU74">
        <f>EXP(Foglio1!$C12-Foglio1!$D12/(Foglio1!$E12+Foglio2!AU$61))*Foglio2!AU64/Foglio1!$D$5</f>
        <v>2.4553316257871178E-2</v>
      </c>
      <c r="AV74">
        <f>EXP(Foglio1!$C12-Foglio1!$D12/(Foglio1!$E12+Foglio2!AV$61))*Foglio2!AV64/Foglio1!$D$5</f>
        <v>2.4559431961095456E-2</v>
      </c>
      <c r="AW74">
        <f>EXP(Foglio1!$C12-Foglio1!$D12/(Foglio1!$E12+Foglio2!AW$61))*Foglio2!AW64/Foglio1!$D$5</f>
        <v>2.4556373981129555E-2</v>
      </c>
      <c r="AX74">
        <f>EXP(Foglio1!$C12-Foglio1!$D12/(Foglio1!$E12+Foglio2!AX$61))*Foglio2!AX64/Foglio1!$D$5</f>
        <v>2.4554845087412465E-2</v>
      </c>
      <c r="AY74">
        <f>EXP(Foglio1!$C12-Foglio1!$D12/(Foglio1!$E12+Foglio2!AY$61))*Foglio2!AY64/Foglio1!$D$5</f>
        <v>2.4555609526248971E-2</v>
      </c>
      <c r="AZ74">
        <f>EXP(Foglio1!$C12-Foglio1!$D12/(Foglio1!$E12+Foglio2!AZ$61))*Foglio2!AZ64/Foglio1!$D$5</f>
        <v>2.4555991751683739E-2</v>
      </c>
      <c r="BA74">
        <f>EXP(Foglio1!$C12-Foglio1!$D12/(Foglio1!$E12+Foglio2!BA$61))*Foglio2!BA64/Foglio1!$D$5</f>
        <v>2.4556182865905284E-2</v>
      </c>
      <c r="BB74">
        <f>EXP(Foglio1!$C12-Foglio1!$D12/(Foglio1!$E12+Foglio2!BB$61))*Foglio2!BB64/Foglio1!$D$5</f>
        <v>2.4556278423392083E-2</v>
      </c>
      <c r="BC74">
        <f>EXP(Foglio1!$C12-Foglio1!$D12/(Foglio1!$E12+Foglio2!BC$61))*Foglio2!BC64/Foglio1!$D$5</f>
        <v>2.4556326202229473E-2</v>
      </c>
      <c r="BD74">
        <f>EXP(Foglio1!$C12-Foglio1!$D12/(Foglio1!$E12+Foglio2!BD$61))*Foglio2!BD64/Foglio1!$D$5</f>
        <v>2.4556302312802935E-2</v>
      </c>
      <c r="BE74">
        <f>EXP(Foglio1!$C12-Foglio1!$D12/(Foglio1!$E12+Foglio2!BE$61))*Foglio2!BE64/Foglio1!$D$5</f>
        <v>2.4556314257514235E-2</v>
      </c>
      <c r="BF74">
        <f>EXP(Foglio1!$C12-Foglio1!$D12/(Foglio1!$E12+Foglio2!BF$61))*Foglio2!BF64/Foglio1!$D$5</f>
        <v>2.4556320229871323E-2</v>
      </c>
      <c r="BG74">
        <f>EXP(Foglio1!$C12-Foglio1!$D12/(Foglio1!$E12+Foglio2!BG$61))*Foglio2!BG64/Foglio1!$D$5</f>
        <v>2.4556317243692682E-2</v>
      </c>
      <c r="BH74">
        <f>EXP(Foglio1!$C12-Foglio1!$D12/(Foglio1!$E12+Foglio2!BH$61))*Foglio2!BH64/Foglio1!$D$5</f>
        <v>2.455631873678198E-2</v>
      </c>
      <c r="BI74">
        <f>EXP(Foglio1!$C12-Foglio1!$D12/(Foglio1!$E12+Foglio2!BI$61))*Foglio2!BI64/Foglio1!$D$5</f>
        <v>2.4556317990237296E-2</v>
      </c>
      <c r="BJ74">
        <f>EXP(Foglio1!$C12-Foglio1!$D12/(Foglio1!$E12+Foglio2!BJ$61))*Foglio2!BJ64/Foglio1!$D$5</f>
        <v>2.4556318363509681E-2</v>
      </c>
      <c r="BK74">
        <f>EXP(Foglio1!$C12-Foglio1!$D12/(Foglio1!$E12+Foglio2!BK$61))*Foglio2!BK64/Foglio1!$D$5</f>
        <v>2.4556318550145829E-2</v>
      </c>
      <c r="BL74">
        <f>EXP(Foglio1!$C12-Foglio1!$D12/(Foglio1!$E12+Foglio2!BL$61))*Foglio2!BL64/Foglio1!$D$5</f>
        <v>2.4556318456827715E-2</v>
      </c>
      <c r="BM74">
        <f>EXP(Foglio1!$C12-Foglio1!$D12/(Foglio1!$E12+Foglio2!BM$61))*Foglio2!BM64/Foglio1!$D$5</f>
        <v>2.4556318410168743E-2</v>
      </c>
      <c r="BN74">
        <f>EXP(Foglio1!$C12-Foglio1!$D12/(Foglio1!$E12+Foglio2!BN$61))*Foglio2!BN64/Foglio1!$D$5</f>
        <v>2.4556318386839211E-2</v>
      </c>
      <c r="BO74">
        <f>EXP(Foglio1!$C12-Foglio1!$D12/(Foglio1!$E12+Foglio2!BO$61))*Foglio2!BO64/Foglio1!$D$5</f>
        <v>2.4556318375174406E-2</v>
      </c>
      <c r="BP74">
        <f>EXP(Foglio1!$C12-Foglio1!$D12/(Foglio1!$E12+Foglio2!BP$61))*Foglio2!BP64/Foglio1!$D$5</f>
        <v>2.4556318381006765E-2</v>
      </c>
      <c r="BQ74">
        <f>EXP(Foglio1!$C12-Foglio1!$D12/(Foglio1!$E12+Foglio2!BQ$61))*Foglio2!BQ64/Foglio1!$D$5</f>
        <v>2.4556318383922988E-2</v>
      </c>
      <c r="BR74">
        <f>EXP(Foglio1!$C12-Foglio1!$D12/(Foglio1!$E12+Foglio2!BR$61))*Foglio2!BR64/Foglio1!$D$5</f>
        <v>2.4556318382464918E-2</v>
      </c>
      <c r="BS74">
        <f>EXP(Foglio1!$C12-Foglio1!$D12/(Foglio1!$E12+Foglio2!BS$61))*Foglio2!BS64/Foglio1!$D$5</f>
        <v>2.4556318383193953E-2</v>
      </c>
      <c r="BT74">
        <f>EXP(Foglio1!$C12-Foglio1!$D12/(Foglio1!$E12+Foglio2!BT$61))*Foglio2!BT64/Foglio1!$D$5</f>
        <v>2.4556318383558491E-2</v>
      </c>
      <c r="BU74">
        <f>EXP(Foglio1!$C12-Foglio1!$D12/(Foglio1!$E12+Foglio2!BU$61))*Foglio2!BU64/Foglio1!$D$5</f>
        <v>2.4556318383376245E-2</v>
      </c>
      <c r="BV74">
        <f>EXP(Foglio1!$C12-Foglio1!$D12/(Foglio1!$E12+Foglio2!BV$61))*Foglio2!BV64/Foglio1!$D$5</f>
        <v>2.4556318383285074E-2</v>
      </c>
      <c r="BW74">
        <f>EXP(Foglio1!$C12-Foglio1!$D12/(Foglio1!$E12+Foglio2!BW$61))*Foglio2!BW64/Foglio1!$D$5</f>
        <v>2.4556318383239489E-2</v>
      </c>
      <c r="BX74">
        <f>EXP(Foglio1!$C12-Foglio1!$D12/(Foglio1!$E12+Foglio2!BX$61))*Foglio2!BX64/Foglio1!$D$5</f>
        <v>2.4556318383262308E-2</v>
      </c>
      <c r="BY74">
        <f>EXP(Foglio1!$C12-Foglio1!$D12/(Foglio1!$E12+Foglio2!BY$61))*Foglio2!BY64/Foglio1!$D$5</f>
        <v>2.4556318383250876E-2</v>
      </c>
      <c r="BZ74">
        <f>EXP(Foglio1!$C12-Foglio1!$D12/(Foglio1!$E12+Foglio2!BZ$61))*Foglio2!BZ64/Foglio1!$D$5</f>
        <v>2.4556318383245207E-2</v>
      </c>
      <c r="CA74">
        <f>EXP(Foglio1!$C12-Foglio1!$D12/(Foglio1!$E12+Foglio2!CA$61))*Foglio2!CA64/Foglio1!$D$5</f>
        <v>2.4556318383242331E-2</v>
      </c>
      <c r="CB74">
        <f>EXP(Foglio1!$C12-Foglio1!$D12/(Foglio1!$E12+Foglio2!CB$61))*Foglio2!CB64/Foglio1!$D$5</f>
        <v>2.4556318383240933E-2</v>
      </c>
      <c r="CC74">
        <f>EXP(Foglio1!$C12-Foglio1!$D12/(Foglio1!$E12+Foglio2!CC$61))*Foglio2!CC64/Foglio1!$D$5</f>
        <v>2.4556318383241633E-2</v>
      </c>
      <c r="CD74">
        <f>EXP(Foglio1!$C12-Foglio1!$D12/(Foglio1!$E12+Foglio2!CD$61))*Foglio2!CD64/Foglio1!$D$5</f>
        <v>2.455631838324198E-2</v>
      </c>
      <c r="CE74">
        <f>EXP(Foglio1!$C12-Foglio1!$D12/(Foglio1!$E12+Foglio2!CE$61))*Foglio2!CE64/Foglio1!$D$5</f>
        <v>2.4556318383241803E-2</v>
      </c>
      <c r="CF74">
        <f>EXP(Foglio1!$C12-Foglio1!$D12/(Foglio1!$E12+Foglio2!CF$61))*Foglio2!CF64/Foglio1!$D$5</f>
        <v>2.455631838324189E-2</v>
      </c>
    </row>
    <row r="75" spans="34:84" x14ac:dyDescent="0.25">
      <c r="AH75" t="s">
        <v>69</v>
      </c>
      <c r="AI75">
        <f>EXP(Foglio1!$C13-Foglio1!$D13/(Foglio1!$E13+Foglio2!AI$61))*Foglio2!AI65/Foglio1!$D$5</f>
        <v>0.40525913736208558</v>
      </c>
      <c r="AJ75">
        <f>EXP(Foglio1!$C13-Foglio1!$D13/(Foglio1!$E13+Foglio2!AJ$61))*Foglio2!AJ65/Foglio1!$D$5</f>
        <v>0.10567358796155522</v>
      </c>
      <c r="AK75">
        <f>EXP(Foglio1!$C13-Foglio1!$D13/(Foglio1!$E13+Foglio2!AK$61))*Foglio2!AK65/Foglio1!$D$5</f>
        <v>0.2199920492754783</v>
      </c>
      <c r="AL75">
        <f>EXP(Foglio1!$C13-Foglio1!$D13/(Foglio1!$E13+Foglio2!AL$61))*Foglio2!AL65/Foglio1!$D$5</f>
        <v>0.30258161372477926</v>
      </c>
      <c r="AM75">
        <f>EXP(Foglio1!$C13-Foglio1!$D13/(Foglio1!$E13+Foglio2!AM$61))*Foglio2!AM65/Foglio1!$D$5</f>
        <v>0.35126804535228789</v>
      </c>
      <c r="AN75">
        <f>EXP(Foglio1!$C13-Foglio1!$D13/(Foglio1!$E13+Foglio2!AN$61))*Foglio2!AN65/Foglio1!$D$5</f>
        <v>0.3775833177073174</v>
      </c>
      <c r="AO75">
        <f>EXP(Foglio1!$C13-Foglio1!$D13/(Foglio1!$E13+Foglio2!AO$61))*Foglio2!AO65/Foglio1!$D$5</f>
        <v>0.36425773863877681</v>
      </c>
      <c r="AP75">
        <f>EXP(Foglio1!$C13-Foglio1!$D13/(Foglio1!$E13+Foglio2!AP$61))*Foglio2!AP65/Foglio1!$D$5</f>
        <v>0.37087827524755107</v>
      </c>
      <c r="AQ75">
        <f>EXP(Foglio1!$C13-Foglio1!$D13/(Foglio1!$E13+Foglio2!AQ$61))*Foglio2!AQ65/Foglio1!$D$5</f>
        <v>0.3742201999762611</v>
      </c>
      <c r="AR75">
        <f>EXP(Foglio1!$C13-Foglio1!$D13/(Foglio1!$E13+Foglio2!AR$61))*Foglio2!AR65/Foglio1!$D$5</f>
        <v>0.37254659263945045</v>
      </c>
      <c r="AS75">
        <f>EXP(Foglio1!$C13-Foglio1!$D13/(Foglio1!$E13+Foglio2!AS$61))*Foglio2!AS65/Foglio1!$D$5</f>
        <v>0.37171177322000887</v>
      </c>
      <c r="AT75">
        <f>EXP(Foglio1!$C13-Foglio1!$D13/(Foglio1!$E13+Foglio2!AT$61))*Foglio2!AT65/Foglio1!$D$5</f>
        <v>0.37212901768388096</v>
      </c>
      <c r="AU75">
        <f>EXP(Foglio1!$C13-Foglio1!$D13/(Foglio1!$E13+Foglio2!AU$61))*Foglio2!AU65/Foglio1!$D$5</f>
        <v>0.37233776384208334</v>
      </c>
      <c r="AV75">
        <f>EXP(Foglio1!$C13-Foglio1!$D13/(Foglio1!$E13+Foglio2!AV$61))*Foglio2!AV65/Foglio1!$D$5</f>
        <v>0.37244216790985707</v>
      </c>
      <c r="AW75">
        <f>EXP(Foglio1!$C13-Foglio1!$D13/(Foglio1!$E13+Foglio2!AW$61))*Foglio2!AW65/Foglio1!$D$5</f>
        <v>0.37238996329336932</v>
      </c>
      <c r="AX75">
        <f>EXP(Foglio1!$C13-Foglio1!$D13/(Foglio1!$E13+Foglio2!AX$61))*Foglio2!AX65/Foglio1!$D$5</f>
        <v>0.37236386292209289</v>
      </c>
      <c r="AY75">
        <f>EXP(Foglio1!$C13-Foglio1!$D13/(Foglio1!$E13+Foglio2!AY$61))*Foglio2!AY65/Foglio1!$D$5</f>
        <v>0.37237691294632008</v>
      </c>
      <c r="AZ75">
        <f>EXP(Foglio1!$C13-Foglio1!$D13/(Foglio1!$E13+Foglio2!AZ$61))*Foglio2!AZ65/Foglio1!$D$5</f>
        <v>0.37238343807949187</v>
      </c>
      <c r="BA75">
        <f>EXP(Foglio1!$C13-Foglio1!$D13/(Foglio1!$E13+Foglio2!BA$61))*Foglio2!BA65/Foglio1!$D$5</f>
        <v>0.37238670067634261</v>
      </c>
      <c r="BB75">
        <f>EXP(Foglio1!$C13-Foglio1!$D13/(Foglio1!$E13+Foglio2!BB$61))*Foglio2!BB65/Foglio1!$D$5</f>
        <v>0.37238833198233401</v>
      </c>
      <c r="BC75">
        <f>EXP(Foglio1!$C13-Foglio1!$D13/(Foglio1!$E13+Foglio2!BC$61))*Foglio2!BC65/Foglio1!$D$5</f>
        <v>0.37238914763722092</v>
      </c>
      <c r="BD75">
        <f>EXP(Foglio1!$C13-Foglio1!$D13/(Foglio1!$E13+Foglio2!BD$61))*Foglio2!BD65/Foglio1!$D$5</f>
        <v>0.37238873980962001</v>
      </c>
      <c r="BE75">
        <f>EXP(Foglio1!$C13-Foglio1!$D13/(Foglio1!$E13+Foglio2!BE$61))*Foglio2!BE65/Foglio1!$D$5</f>
        <v>0.37238894372338122</v>
      </c>
      <c r="BF75">
        <f>EXP(Foglio1!$C13-Foglio1!$D13/(Foglio1!$E13+Foglio2!BF$61))*Foglio2!BF65/Foglio1!$D$5</f>
        <v>0.37238904568029146</v>
      </c>
      <c r="BG75">
        <f>EXP(Foglio1!$C13-Foglio1!$D13/(Foglio1!$E13+Foglio2!BG$61))*Foglio2!BG65/Foglio1!$D$5</f>
        <v>0.37238899470183379</v>
      </c>
      <c r="BH75">
        <f>EXP(Foglio1!$C13-Foglio1!$D13/(Foglio1!$E13+Foglio2!BH$61))*Foglio2!BH65/Foglio1!$D$5</f>
        <v>0.3723890201910614</v>
      </c>
      <c r="BI75">
        <f>EXP(Foglio1!$C13-Foglio1!$D13/(Foglio1!$E13+Foglio2!BI$61))*Foglio2!BI65/Foglio1!$D$5</f>
        <v>0.37238900744644698</v>
      </c>
      <c r="BJ75">
        <f>EXP(Foglio1!$C13-Foglio1!$D13/(Foglio1!$E13+Foglio2!BJ$61))*Foglio2!BJ65/Foglio1!$D$5</f>
        <v>0.37238901381875483</v>
      </c>
      <c r="BK75">
        <f>EXP(Foglio1!$C13-Foglio1!$D13/(Foglio1!$E13+Foglio2!BK$61))*Foglio2!BK65/Foglio1!$D$5</f>
        <v>0.37238901700490812</v>
      </c>
      <c r="BL75">
        <f>EXP(Foglio1!$C13-Foglio1!$D13/(Foglio1!$E13+Foglio2!BL$61))*Foglio2!BL65/Foglio1!$D$5</f>
        <v>0.37238901541183111</v>
      </c>
      <c r="BM75">
        <f>EXP(Foglio1!$C13-Foglio1!$D13/(Foglio1!$E13+Foglio2!BM$61))*Foglio2!BM65/Foglio1!$D$5</f>
        <v>0.37238901461529361</v>
      </c>
      <c r="BN75">
        <f>EXP(Foglio1!$C13-Foglio1!$D13/(Foglio1!$E13+Foglio2!BN$61))*Foglio2!BN65/Foglio1!$D$5</f>
        <v>0.37238901421702425</v>
      </c>
      <c r="BO75">
        <f>EXP(Foglio1!$C13-Foglio1!$D13/(Foglio1!$E13+Foglio2!BO$61))*Foglio2!BO65/Foglio1!$D$5</f>
        <v>0.3723890140178896</v>
      </c>
      <c r="BP75">
        <f>EXP(Foglio1!$C13-Foglio1!$D13/(Foglio1!$E13+Foglio2!BP$61))*Foglio2!BP65/Foglio1!$D$5</f>
        <v>0.3723890141174559</v>
      </c>
      <c r="BQ75">
        <f>EXP(Foglio1!$C13-Foglio1!$D13/(Foglio1!$E13+Foglio2!BQ$61))*Foglio2!BQ65/Foglio1!$D$5</f>
        <v>0.37238901416724013</v>
      </c>
      <c r="BR75">
        <f>EXP(Foglio1!$C13-Foglio1!$D13/(Foglio1!$E13+Foglio2!BR$61))*Foglio2!BR65/Foglio1!$D$5</f>
        <v>0.3723890141423486</v>
      </c>
      <c r="BS75">
        <f>EXP(Foglio1!$C13-Foglio1!$D13/(Foglio1!$E13+Foglio2!BS$61))*Foglio2!BS65/Foglio1!$D$5</f>
        <v>0.37238901415479464</v>
      </c>
      <c r="BT75">
        <f>EXP(Foglio1!$C13-Foglio1!$D13/(Foglio1!$E13+Foglio2!BT$61))*Foglio2!BT65/Foglio1!$D$5</f>
        <v>0.37238901416101666</v>
      </c>
      <c r="BU75">
        <f>EXP(Foglio1!$C13-Foglio1!$D13/(Foglio1!$E13+Foglio2!BU$61))*Foglio2!BU65/Foglio1!$D$5</f>
        <v>0.37238901415790637</v>
      </c>
      <c r="BV75">
        <f>EXP(Foglio1!$C13-Foglio1!$D13/(Foglio1!$E13+Foglio2!BV$61))*Foglio2!BV65/Foglio1!$D$5</f>
        <v>0.37238901415635051</v>
      </c>
      <c r="BW75">
        <f>EXP(Foglio1!$C13-Foglio1!$D13/(Foglio1!$E13+Foglio2!BW$61))*Foglio2!BW65/Foglio1!$D$5</f>
        <v>0.37238901415557196</v>
      </c>
      <c r="BX75">
        <f>EXP(Foglio1!$C13-Foglio1!$D13/(Foglio1!$E13+Foglio2!BX$61))*Foglio2!BX65/Foglio1!$D$5</f>
        <v>0.3723890141559616</v>
      </c>
      <c r="BY75">
        <f>EXP(Foglio1!$C13-Foglio1!$D13/(Foglio1!$E13+Foglio2!BY$61))*Foglio2!BY65/Foglio1!$D$5</f>
        <v>0.37238901415576708</v>
      </c>
      <c r="BZ75">
        <f>EXP(Foglio1!$C13-Foglio1!$D13/(Foglio1!$E13+Foglio2!BZ$61))*Foglio2!BZ65/Foglio1!$D$5</f>
        <v>0.37238901415566916</v>
      </c>
      <c r="CA75">
        <f>EXP(Foglio1!$C13-Foglio1!$D13/(Foglio1!$E13+Foglio2!CA$61))*Foglio2!CA65/Foglio1!$D$5</f>
        <v>0.37238901415562087</v>
      </c>
      <c r="CB75">
        <f>EXP(Foglio1!$C13-Foglio1!$D13/(Foglio1!$E13+Foglio2!CB$61))*Foglio2!CB65/Foglio1!$D$5</f>
        <v>0.37238901415559639</v>
      </c>
      <c r="CC75">
        <f>EXP(Foglio1!$C13-Foglio1!$D13/(Foglio1!$E13+Foglio2!CC$61))*Foglio2!CC65/Foglio1!$D$5</f>
        <v>0.37238901415560838</v>
      </c>
      <c r="CD75">
        <f>EXP(Foglio1!$C13-Foglio1!$D13/(Foglio1!$E13+Foglio2!CD$61))*Foglio2!CD65/Foglio1!$D$5</f>
        <v>0.37238901415561498</v>
      </c>
      <c r="CE75">
        <f>EXP(Foglio1!$C13-Foglio1!$D13/(Foglio1!$E13+Foglio2!CE$61))*Foglio2!CE65/Foglio1!$D$5</f>
        <v>0.37238901415561165</v>
      </c>
      <c r="CF75">
        <f>EXP(Foglio1!$C13-Foglio1!$D13/(Foglio1!$E13+Foglio2!CF$61))*Foglio2!CF65/Foglio1!$D$5</f>
        <v>0.3723890141556136</v>
      </c>
    </row>
    <row r="76" spans="34:84" x14ac:dyDescent="0.25">
      <c r="AH76" t="s">
        <v>70</v>
      </c>
      <c r="AI76">
        <f>EXP(Foglio1!$C14-Foglio1!$D14/(Foglio1!$E14+Foglio2!AI$61))*Foglio2!AI66/Foglio1!$D$5</f>
        <v>0.63919920552043363</v>
      </c>
      <c r="AJ76">
        <f>EXP(Foglio1!$C14-Foglio1!$D14/(Foglio1!$E14+Foglio2!AJ$61))*Foglio2!AJ66/Foglio1!$D$5</f>
        <v>0.15501780240809812</v>
      </c>
      <c r="AK76">
        <f>EXP(Foglio1!$C14-Foglio1!$D14/(Foglio1!$E14+Foglio2!AK$61))*Foglio2!AK66/Foglio1!$D$5</f>
        <v>0.33572922855731635</v>
      </c>
      <c r="AL76">
        <f>EXP(Foglio1!$C14-Foglio1!$D14/(Foglio1!$E14+Foglio2!AL$61))*Foglio2!AL66/Foglio1!$D$5</f>
        <v>0.46978042005441539</v>
      </c>
      <c r="AM76">
        <f>EXP(Foglio1!$C14-Foglio1!$D14/(Foglio1!$E14+Foglio2!AM$61))*Foglio2!AM66/Foglio1!$D$5</f>
        <v>0.54978010784697384</v>
      </c>
      <c r="AN76">
        <f>EXP(Foglio1!$C14-Foglio1!$D14/(Foglio1!$E14+Foglio2!AN$61))*Foglio2!AN66/Foglio1!$D$5</f>
        <v>0.59327663452192791</v>
      </c>
      <c r="AO76">
        <f>EXP(Foglio1!$C14-Foglio1!$D14/(Foglio1!$E14+Foglio2!AO$61))*Foglio2!AO66/Foglio1!$D$5</f>
        <v>0.57122953807289156</v>
      </c>
      <c r="AP76">
        <f>EXP(Foglio1!$C14-Foglio1!$D14/(Foglio1!$E14+Foglio2!AP$61))*Foglio2!AP66/Foglio1!$D$5</f>
        <v>0.58217782340371305</v>
      </c>
      <c r="AQ76">
        <f>EXP(Foglio1!$C14-Foglio1!$D14/(Foglio1!$E14+Foglio2!AQ$61))*Foglio2!AQ66/Foglio1!$D$5</f>
        <v>0.5877083440667602</v>
      </c>
      <c r="AR76">
        <f>EXP(Foglio1!$C14-Foglio1!$D14/(Foglio1!$E14+Foglio2!AR$61))*Foglio2!AR66/Foglio1!$D$5</f>
        <v>0.58493837115077429</v>
      </c>
      <c r="AS76">
        <f>EXP(Foglio1!$C14-Foglio1!$D14/(Foglio1!$E14+Foglio2!AS$61))*Foglio2!AS66/Foglio1!$D$5</f>
        <v>0.58355692021169037</v>
      </c>
      <c r="AT76">
        <f>EXP(Foglio1!$C14-Foglio1!$D14/(Foglio1!$E14+Foglio2!AT$61))*Foglio2!AT66/Foglio1!$D$5</f>
        <v>0.5842473512797457</v>
      </c>
      <c r="AU76">
        <f>EXP(Foglio1!$C14-Foglio1!$D14/(Foglio1!$E14+Foglio2!AU$61))*Foglio2!AU66/Foglio1!$D$5</f>
        <v>0.58459278759800337</v>
      </c>
      <c r="AV76">
        <f>EXP(Foglio1!$C14-Foglio1!$D14/(Foglio1!$E14+Foglio2!AV$61))*Foglio2!AV66/Foglio1!$D$5</f>
        <v>0.58476556096796484</v>
      </c>
      <c r="AW76">
        <f>EXP(Foglio1!$C14-Foglio1!$D14/(Foglio1!$E14+Foglio2!AW$61))*Foglio2!AW66/Foglio1!$D$5</f>
        <v>0.58467916968164191</v>
      </c>
      <c r="AX76">
        <f>EXP(Foglio1!$C14-Foglio1!$D14/(Foglio1!$E14+Foglio2!AX$61))*Foglio2!AX66/Foglio1!$D$5</f>
        <v>0.5846359774895209</v>
      </c>
      <c r="AY76">
        <f>EXP(Foglio1!$C14-Foglio1!$D14/(Foglio1!$E14+Foglio2!AY$61))*Foglio2!AY66/Foglio1!$D$5</f>
        <v>0.5846575732980015</v>
      </c>
      <c r="AZ76">
        <f>EXP(Foglio1!$C14-Foglio1!$D14/(Foglio1!$E14+Foglio2!AZ$61))*Foglio2!AZ66/Foglio1!$D$5</f>
        <v>0.58466837141792605</v>
      </c>
      <c r="BA76">
        <f>EXP(Foglio1!$C14-Foglio1!$D14/(Foglio1!$E14+Foglio2!BA$61))*Foglio2!BA66/Foglio1!$D$5</f>
        <v>0.58467377053180991</v>
      </c>
      <c r="BB76">
        <f>EXP(Foglio1!$C14-Foglio1!$D14/(Foglio1!$E14+Foglio2!BB$61))*Foglio2!BB66/Foglio1!$D$5</f>
        <v>0.58467647010223178</v>
      </c>
      <c r="BC76">
        <f>EXP(Foglio1!$C14-Foglio1!$D14/(Foglio1!$E14+Foglio2!BC$61))*Foglio2!BC66/Foglio1!$D$5</f>
        <v>0.58467781989081391</v>
      </c>
      <c r="BD76">
        <f>EXP(Foglio1!$C14-Foglio1!$D14/(Foglio1!$E14+Foglio2!BD$61))*Foglio2!BD66/Foglio1!$D$5</f>
        <v>0.5846771449962419</v>
      </c>
      <c r="BE76">
        <f>EXP(Foglio1!$C14-Foglio1!$D14/(Foglio1!$E14+Foglio2!BE$61))*Foglio2!BE66/Foglio1!$D$5</f>
        <v>0.58467748244345807</v>
      </c>
      <c r="BF76">
        <f>EXP(Foglio1!$C14-Foglio1!$D14/(Foglio1!$E14+Foglio2!BF$61))*Foglio2!BF66/Foglio1!$D$5</f>
        <v>0.58467765116711834</v>
      </c>
      <c r="BG76">
        <f>EXP(Foglio1!$C14-Foglio1!$D14/(Foglio1!$E14+Foglio2!BG$61))*Foglio2!BG66/Foglio1!$D$5</f>
        <v>0.58467756680528316</v>
      </c>
      <c r="BH76">
        <f>EXP(Foglio1!$C14-Foglio1!$D14/(Foglio1!$E14+Foglio2!BH$61))*Foglio2!BH66/Foglio1!$D$5</f>
        <v>0.58467760898619925</v>
      </c>
      <c r="BI76">
        <f>EXP(Foglio1!$C14-Foglio1!$D14/(Foglio1!$E14+Foglio2!BI$61))*Foglio2!BI66/Foglio1!$D$5</f>
        <v>0.58467758789574076</v>
      </c>
      <c r="BJ76">
        <f>EXP(Foglio1!$C14-Foglio1!$D14/(Foglio1!$E14+Foglio2!BJ$61))*Foglio2!BJ66/Foglio1!$D$5</f>
        <v>0.584677598440971</v>
      </c>
      <c r="BK76">
        <f>EXP(Foglio1!$C14-Foglio1!$D14/(Foglio1!$E14+Foglio2!BK$61))*Foglio2!BK66/Foglio1!$D$5</f>
        <v>0.58467760371358557</v>
      </c>
      <c r="BL76">
        <f>EXP(Foglio1!$C14-Foglio1!$D14/(Foglio1!$E14+Foglio2!BL$61))*Foglio2!BL66/Foglio1!$D$5</f>
        <v>0.58467760107727773</v>
      </c>
      <c r="BM76">
        <f>EXP(Foglio1!$C14-Foglio1!$D14/(Foglio1!$E14+Foglio2!BM$61))*Foglio2!BM66/Foglio1!$D$5</f>
        <v>0.58467759975912492</v>
      </c>
      <c r="BN76">
        <f>EXP(Foglio1!$C14-Foglio1!$D14/(Foglio1!$E14+Foglio2!BN$61))*Foglio2!BN66/Foglio1!$D$5</f>
        <v>0.58467759910004746</v>
      </c>
      <c r="BO76">
        <f>EXP(Foglio1!$C14-Foglio1!$D14/(Foglio1!$E14+Foglio2!BO$61))*Foglio2!BO66/Foglio1!$D$5</f>
        <v>0.58467759877050918</v>
      </c>
      <c r="BP76">
        <f>EXP(Foglio1!$C14-Foglio1!$D14/(Foglio1!$E14+Foglio2!BP$61))*Foglio2!BP66/Foglio1!$D$5</f>
        <v>0.58467759893527738</v>
      </c>
      <c r="BQ76">
        <f>EXP(Foglio1!$C14-Foglio1!$D14/(Foglio1!$E14+Foglio2!BQ$61))*Foglio2!BQ66/Foglio1!$D$5</f>
        <v>0.58467759901766292</v>
      </c>
      <c r="BR76">
        <f>EXP(Foglio1!$C14-Foglio1!$D14/(Foglio1!$E14+Foglio2!BR$61))*Foglio2!BR66/Foglio1!$D$5</f>
        <v>0.58467759897647009</v>
      </c>
      <c r="BS76">
        <f>EXP(Foglio1!$C14-Foglio1!$D14/(Foglio1!$E14+Foglio2!BS$61))*Foglio2!BS66/Foglio1!$D$5</f>
        <v>0.5846775989970675</v>
      </c>
      <c r="BT76">
        <f>EXP(Foglio1!$C14-Foglio1!$D14/(Foglio1!$E14+Foglio2!BT$61))*Foglio2!BT66/Foglio1!$D$5</f>
        <v>0.58467759900736416</v>
      </c>
      <c r="BU76">
        <f>EXP(Foglio1!$C14-Foglio1!$D14/(Foglio1!$E14+Foglio2!BU$61))*Foglio2!BU66/Foglio1!$D$5</f>
        <v>0.58467759900221583</v>
      </c>
      <c r="BV76">
        <f>EXP(Foglio1!$C14-Foglio1!$D14/(Foglio1!$E14+Foglio2!BV$61))*Foglio2!BV66/Foglio1!$D$5</f>
        <v>0.58467759899964111</v>
      </c>
      <c r="BW76">
        <f>EXP(Foglio1!$C14-Foglio1!$D14/(Foglio1!$E14+Foglio2!BW$61))*Foglio2!BW66/Foglio1!$D$5</f>
        <v>0.58467759899835325</v>
      </c>
      <c r="BX76">
        <f>EXP(Foglio1!$C14-Foglio1!$D14/(Foglio1!$E14+Foglio2!BX$61))*Foglio2!BX66/Foglio1!$D$5</f>
        <v>0.58467759899899718</v>
      </c>
      <c r="BY76">
        <f>EXP(Foglio1!$C14-Foglio1!$D14/(Foglio1!$E14+Foglio2!BY$61))*Foglio2!BY66/Foglio1!$D$5</f>
        <v>0.58467759899867533</v>
      </c>
      <c r="BZ76">
        <f>EXP(Foglio1!$C14-Foglio1!$D14/(Foglio1!$E14+Foglio2!BZ$61))*Foglio2!BZ66/Foglio1!$D$5</f>
        <v>0.58467759899851535</v>
      </c>
      <c r="CA76">
        <f>EXP(Foglio1!$C14-Foglio1!$D14/(Foglio1!$E14+Foglio2!CA$61))*Foglio2!CA66/Foglio1!$D$5</f>
        <v>0.5846775989984343</v>
      </c>
      <c r="CB76">
        <f>EXP(Foglio1!$C14-Foglio1!$D14/(Foglio1!$E14+Foglio2!CB$61))*Foglio2!CB66/Foglio1!$D$5</f>
        <v>0.58467759899839478</v>
      </c>
      <c r="CC76">
        <f>EXP(Foglio1!$C14-Foglio1!$D14/(Foglio1!$E14+Foglio2!CC$61))*Foglio2!CC66/Foglio1!$D$5</f>
        <v>0.58467759899841354</v>
      </c>
      <c r="CD76">
        <f>EXP(Foglio1!$C14-Foglio1!$D14/(Foglio1!$E14+Foglio2!CD$61))*Foglio2!CD66/Foglio1!$D$5</f>
        <v>0.58467759899842386</v>
      </c>
      <c r="CE76">
        <f>EXP(Foglio1!$C14-Foglio1!$D14/(Foglio1!$E14+Foglio2!CE$61))*Foglio2!CE66/Foglio1!$D$5</f>
        <v>0.58467759899841976</v>
      </c>
      <c r="CF76">
        <f>EXP(Foglio1!$C14-Foglio1!$D14/(Foglio1!$E14+Foglio2!CF$61))*Foglio2!CF66/Foglio1!$D$5</f>
        <v>0.58467759899842187</v>
      </c>
    </row>
    <row r="77" spans="34:84" x14ac:dyDescent="0.25">
      <c r="AH77" t="s">
        <v>71</v>
      </c>
      <c r="AI77">
        <f>EXP(Foglio1!$C15-Foglio1!$D15/(Foglio1!$E15+Foglio2!AI$61))*Foglio2!AI67/Foglio1!$D$5</f>
        <v>0</v>
      </c>
      <c r="AJ77">
        <f>EXP(Foglio1!$C15-Foglio1!$D15/(Foglio1!$E15+Foglio2!AJ$61))*Foglio2!AJ67/Foglio1!$D$5</f>
        <v>0</v>
      </c>
      <c r="AK77">
        <f>EXP(Foglio1!$C15-Foglio1!$D15/(Foglio1!$E15+Foglio2!AK$61))*Foglio2!AK67/Foglio1!$D$5</f>
        <v>0</v>
      </c>
      <c r="AL77">
        <f>EXP(Foglio1!$C15-Foglio1!$D15/(Foglio1!$E15+Foglio2!AL$61))*Foglio2!AL67/Foglio1!$D$5</f>
        <v>0</v>
      </c>
      <c r="AM77">
        <f>EXP(Foglio1!$C15-Foglio1!$D15/(Foglio1!$E15+Foglio2!AM$61))*Foglio2!AM67/Foglio1!$D$5</f>
        <v>0</v>
      </c>
      <c r="AN77">
        <f>EXP(Foglio1!$C15-Foglio1!$D15/(Foglio1!$E15+Foglio2!AN$61))*Foglio2!AN67/Foglio1!$D$5</f>
        <v>0</v>
      </c>
      <c r="AO77">
        <f>EXP(Foglio1!$C15-Foglio1!$D15/(Foglio1!$E15+Foglio2!AO$61))*Foglio2!AO67/Foglio1!$D$5</f>
        <v>0</v>
      </c>
      <c r="AP77">
        <f>EXP(Foglio1!$C15-Foglio1!$D15/(Foglio1!$E15+Foglio2!AP$61))*Foglio2!AP67/Foglio1!$D$5</f>
        <v>0</v>
      </c>
      <c r="AQ77">
        <f>EXP(Foglio1!$C15-Foglio1!$D15/(Foglio1!$E15+Foglio2!AQ$61))*Foglio2!AQ67/Foglio1!$D$5</f>
        <v>0</v>
      </c>
      <c r="AR77">
        <f>EXP(Foglio1!$C15-Foglio1!$D15/(Foglio1!$E15+Foglio2!AR$61))*Foglio2!AR67/Foglio1!$D$5</f>
        <v>0</v>
      </c>
      <c r="AS77">
        <f>EXP(Foglio1!$C15-Foglio1!$D15/(Foglio1!$E15+Foglio2!AS$61))*Foglio2!AS67/Foglio1!$D$5</f>
        <v>0</v>
      </c>
      <c r="AT77">
        <f>EXP(Foglio1!$C15-Foglio1!$D15/(Foglio1!$E15+Foglio2!AT$61))*Foglio2!AT67/Foglio1!$D$5</f>
        <v>0</v>
      </c>
      <c r="AU77">
        <f>EXP(Foglio1!$C15-Foglio1!$D15/(Foglio1!$E15+Foglio2!AU$61))*Foglio2!AU67/Foglio1!$D$5</f>
        <v>0</v>
      </c>
      <c r="AV77">
        <f>EXP(Foglio1!$C15-Foglio1!$D15/(Foglio1!$E15+Foglio2!AV$61))*Foglio2!AV67/Foglio1!$D$5</f>
        <v>0</v>
      </c>
      <c r="AW77">
        <f>EXP(Foglio1!$C15-Foglio1!$D15/(Foglio1!$E15+Foglio2!AW$61))*Foglio2!AW67/Foglio1!$D$5</f>
        <v>0</v>
      </c>
      <c r="AX77">
        <f>EXP(Foglio1!$C15-Foglio1!$D15/(Foglio1!$E15+Foglio2!AX$61))*Foglio2!AX67/Foglio1!$D$5</f>
        <v>0</v>
      </c>
      <c r="AY77">
        <f>EXP(Foglio1!$C15-Foglio1!$D15/(Foglio1!$E15+Foglio2!AY$61))*Foglio2!AY67/Foglio1!$D$5</f>
        <v>0</v>
      </c>
      <c r="AZ77">
        <f>EXP(Foglio1!$C15-Foglio1!$D15/(Foglio1!$E15+Foglio2!AZ$61))*Foglio2!AZ67/Foglio1!$D$5</f>
        <v>0</v>
      </c>
      <c r="BA77">
        <f>EXP(Foglio1!$C15-Foglio1!$D15/(Foglio1!$E15+Foglio2!BA$61))*Foglio2!BA67/Foglio1!$D$5</f>
        <v>0</v>
      </c>
      <c r="BB77">
        <f>EXP(Foglio1!$C15-Foglio1!$D15/(Foglio1!$E15+Foglio2!BB$61))*Foglio2!BB67/Foglio1!$D$5</f>
        <v>0</v>
      </c>
      <c r="BC77">
        <f>EXP(Foglio1!$C15-Foglio1!$D15/(Foglio1!$E15+Foglio2!BC$61))*Foglio2!BC67/Foglio1!$D$5</f>
        <v>0</v>
      </c>
      <c r="BD77">
        <f>EXP(Foglio1!$C15-Foglio1!$D15/(Foglio1!$E15+Foglio2!BD$61))*Foglio2!BD67/Foglio1!$D$5</f>
        <v>0</v>
      </c>
      <c r="BE77">
        <f>EXP(Foglio1!$C15-Foglio1!$D15/(Foglio1!$E15+Foglio2!BE$61))*Foglio2!BE67/Foglio1!$D$5</f>
        <v>0</v>
      </c>
      <c r="BF77">
        <f>EXP(Foglio1!$C15-Foglio1!$D15/(Foglio1!$E15+Foglio2!BF$61))*Foglio2!BF67/Foglio1!$D$5</f>
        <v>0</v>
      </c>
      <c r="BG77">
        <f>EXP(Foglio1!$C15-Foglio1!$D15/(Foglio1!$E15+Foglio2!BG$61))*Foglio2!BG67/Foglio1!$D$5</f>
        <v>0</v>
      </c>
      <c r="BH77">
        <f>EXP(Foglio1!$C15-Foglio1!$D15/(Foglio1!$E15+Foglio2!BH$61))*Foglio2!BH67/Foglio1!$D$5</f>
        <v>0</v>
      </c>
      <c r="BI77">
        <f>EXP(Foglio1!$C15-Foglio1!$D15/(Foglio1!$E15+Foglio2!BI$61))*Foglio2!BI67/Foglio1!$D$5</f>
        <v>0</v>
      </c>
      <c r="BJ77">
        <f>EXP(Foglio1!$C15-Foglio1!$D15/(Foglio1!$E15+Foglio2!BJ$61))*Foglio2!BJ67/Foglio1!$D$5</f>
        <v>0</v>
      </c>
      <c r="BK77">
        <f>EXP(Foglio1!$C15-Foglio1!$D15/(Foglio1!$E15+Foglio2!BK$61))*Foglio2!BK67/Foglio1!$D$5</f>
        <v>0</v>
      </c>
      <c r="BL77">
        <f>EXP(Foglio1!$C15-Foglio1!$D15/(Foglio1!$E15+Foglio2!BL$61))*Foglio2!BL67/Foglio1!$D$5</f>
        <v>0</v>
      </c>
      <c r="BM77">
        <f>EXP(Foglio1!$C15-Foglio1!$D15/(Foglio1!$E15+Foglio2!BM$61))*Foglio2!BM67/Foglio1!$D$5</f>
        <v>0</v>
      </c>
      <c r="BN77">
        <f>EXP(Foglio1!$C15-Foglio1!$D15/(Foglio1!$E15+Foglio2!BN$61))*Foglio2!BN67/Foglio1!$D$5</f>
        <v>0</v>
      </c>
      <c r="BO77">
        <f>EXP(Foglio1!$C15-Foglio1!$D15/(Foglio1!$E15+Foglio2!BO$61))*Foglio2!BO67/Foglio1!$D$5</f>
        <v>0</v>
      </c>
      <c r="BP77">
        <f>EXP(Foglio1!$C15-Foglio1!$D15/(Foglio1!$E15+Foglio2!BP$61))*Foglio2!BP67/Foglio1!$D$5</f>
        <v>0</v>
      </c>
      <c r="BQ77">
        <f>EXP(Foglio1!$C15-Foglio1!$D15/(Foglio1!$E15+Foglio2!BQ$61))*Foglio2!BQ67/Foglio1!$D$5</f>
        <v>0</v>
      </c>
      <c r="BR77">
        <f>EXP(Foglio1!$C15-Foglio1!$D15/(Foglio1!$E15+Foglio2!BR$61))*Foglio2!BR67/Foglio1!$D$5</f>
        <v>0</v>
      </c>
      <c r="BS77">
        <f>EXP(Foglio1!$C15-Foglio1!$D15/(Foglio1!$E15+Foglio2!BS$61))*Foglio2!BS67/Foglio1!$D$5</f>
        <v>0</v>
      </c>
      <c r="BT77">
        <f>EXP(Foglio1!$C15-Foglio1!$D15/(Foglio1!$E15+Foglio2!BT$61))*Foglio2!BT67/Foglio1!$D$5</f>
        <v>0</v>
      </c>
      <c r="BU77">
        <f>EXP(Foglio1!$C15-Foglio1!$D15/(Foglio1!$E15+Foglio2!BU$61))*Foglio2!BU67/Foglio1!$D$5</f>
        <v>0</v>
      </c>
      <c r="BV77">
        <f>EXP(Foglio1!$C15-Foglio1!$D15/(Foglio1!$E15+Foglio2!BV$61))*Foglio2!BV67/Foglio1!$D$5</f>
        <v>0</v>
      </c>
      <c r="BW77">
        <f>EXP(Foglio1!$C15-Foglio1!$D15/(Foglio1!$E15+Foglio2!BW$61))*Foglio2!BW67/Foglio1!$D$5</f>
        <v>0</v>
      </c>
      <c r="BX77">
        <f>EXP(Foglio1!$C15-Foglio1!$D15/(Foglio1!$E15+Foglio2!BX$61))*Foglio2!BX67/Foglio1!$D$5</f>
        <v>0</v>
      </c>
      <c r="BY77">
        <f>EXP(Foglio1!$C15-Foglio1!$D15/(Foglio1!$E15+Foglio2!BY$61))*Foglio2!BY67/Foglio1!$D$5</f>
        <v>0</v>
      </c>
      <c r="BZ77">
        <f>EXP(Foglio1!$C15-Foglio1!$D15/(Foglio1!$E15+Foglio2!BZ$61))*Foglio2!BZ67/Foglio1!$D$5</f>
        <v>0</v>
      </c>
      <c r="CA77">
        <f>EXP(Foglio1!$C15-Foglio1!$D15/(Foglio1!$E15+Foglio2!CA$61))*Foglio2!CA67/Foglio1!$D$5</f>
        <v>0</v>
      </c>
      <c r="CB77">
        <f>EXP(Foglio1!$C15-Foglio1!$D15/(Foglio1!$E15+Foglio2!CB$61))*Foglio2!CB67/Foglio1!$D$5</f>
        <v>0</v>
      </c>
      <c r="CC77">
        <f>EXP(Foglio1!$C15-Foglio1!$D15/(Foglio1!$E15+Foglio2!CC$61))*Foglio2!CC67/Foglio1!$D$5</f>
        <v>0</v>
      </c>
      <c r="CD77">
        <f>EXP(Foglio1!$C15-Foglio1!$D15/(Foglio1!$E15+Foglio2!CD$61))*Foglio2!CD67/Foglio1!$D$5</f>
        <v>0</v>
      </c>
      <c r="CE77">
        <f>EXP(Foglio1!$C15-Foglio1!$D15/(Foglio1!$E15+Foglio2!CE$61))*Foglio2!CE67/Foglio1!$D$5</f>
        <v>0</v>
      </c>
      <c r="CF77">
        <f>EXP(Foglio1!$C15-Foglio1!$D15/(Foglio1!$E15+Foglio2!CF$61))*Foglio2!CF67/Foglio1!$D$5</f>
        <v>0</v>
      </c>
    </row>
    <row r="78" spans="34:84" x14ac:dyDescent="0.25">
      <c r="AH78" t="s">
        <v>72</v>
      </c>
      <c r="AI78">
        <f>EXP(Foglio1!$C16-Foglio1!$D16/(Foglio1!$E16+Foglio2!AI$61))*Foglio2!AI68/Foglio1!$D$5</f>
        <v>0</v>
      </c>
      <c r="AJ78">
        <f>EXP(Foglio1!$C16-Foglio1!$D16/(Foglio1!$E16+Foglio2!AJ$61))*Foglio2!AJ68/Foglio1!$D$5</f>
        <v>0</v>
      </c>
      <c r="AK78">
        <f>EXP(Foglio1!$C16-Foglio1!$D16/(Foglio1!$E16+Foglio2!AK$61))*Foglio2!AK68/Foglio1!$D$5</f>
        <v>0</v>
      </c>
      <c r="AL78">
        <f>EXP(Foglio1!$C16-Foglio1!$D16/(Foglio1!$E16+Foglio2!AL$61))*Foglio2!AL68/Foglio1!$D$5</f>
        <v>0</v>
      </c>
      <c r="AM78">
        <f>EXP(Foglio1!$C16-Foglio1!$D16/(Foglio1!$E16+Foglio2!AM$61))*Foglio2!AM68/Foglio1!$D$5</f>
        <v>0</v>
      </c>
      <c r="AN78">
        <f>EXP(Foglio1!$C16-Foglio1!$D16/(Foglio1!$E16+Foglio2!AN$61))*Foglio2!AN68/Foglio1!$D$5</f>
        <v>0</v>
      </c>
      <c r="AO78">
        <f>EXP(Foglio1!$C16-Foglio1!$D16/(Foglio1!$E16+Foglio2!AO$61))*Foglio2!AO68/Foglio1!$D$5</f>
        <v>0</v>
      </c>
      <c r="AP78">
        <f>EXP(Foglio1!$C16-Foglio1!$D16/(Foglio1!$E16+Foglio2!AP$61))*Foglio2!AP68/Foglio1!$D$5</f>
        <v>0</v>
      </c>
      <c r="AQ78">
        <f>EXP(Foglio1!$C16-Foglio1!$D16/(Foglio1!$E16+Foglio2!AQ$61))*Foglio2!AQ68/Foglio1!$D$5</f>
        <v>0</v>
      </c>
      <c r="AR78">
        <f>EXP(Foglio1!$C16-Foglio1!$D16/(Foglio1!$E16+Foglio2!AR$61))*Foglio2!AR68/Foglio1!$D$5</f>
        <v>0</v>
      </c>
      <c r="AS78">
        <f>EXP(Foglio1!$C16-Foglio1!$D16/(Foglio1!$E16+Foglio2!AS$61))*Foglio2!AS68/Foglio1!$D$5</f>
        <v>0</v>
      </c>
      <c r="AT78">
        <f>EXP(Foglio1!$C16-Foglio1!$D16/(Foglio1!$E16+Foglio2!AT$61))*Foglio2!AT68/Foglio1!$D$5</f>
        <v>0</v>
      </c>
      <c r="AU78">
        <f>EXP(Foglio1!$C16-Foglio1!$D16/(Foglio1!$E16+Foglio2!AU$61))*Foglio2!AU68/Foglio1!$D$5</f>
        <v>0</v>
      </c>
      <c r="AV78">
        <f>EXP(Foglio1!$C16-Foglio1!$D16/(Foglio1!$E16+Foglio2!AV$61))*Foglio2!AV68/Foglio1!$D$5</f>
        <v>0</v>
      </c>
      <c r="AW78">
        <f>EXP(Foglio1!$C16-Foglio1!$D16/(Foglio1!$E16+Foglio2!AW$61))*Foglio2!AW68/Foglio1!$D$5</f>
        <v>0</v>
      </c>
      <c r="AX78">
        <f>EXP(Foglio1!$C16-Foglio1!$D16/(Foglio1!$E16+Foglio2!AX$61))*Foglio2!AX68/Foglio1!$D$5</f>
        <v>0</v>
      </c>
      <c r="AY78">
        <f>EXP(Foglio1!$C16-Foglio1!$D16/(Foglio1!$E16+Foglio2!AY$61))*Foglio2!AY68/Foglio1!$D$5</f>
        <v>0</v>
      </c>
      <c r="AZ78">
        <f>EXP(Foglio1!$C16-Foglio1!$D16/(Foglio1!$E16+Foglio2!AZ$61))*Foglio2!AZ68/Foglio1!$D$5</f>
        <v>0</v>
      </c>
      <c r="BA78">
        <f>EXP(Foglio1!$C16-Foglio1!$D16/(Foglio1!$E16+Foglio2!BA$61))*Foglio2!BA68/Foglio1!$D$5</f>
        <v>0</v>
      </c>
      <c r="BB78">
        <f>EXP(Foglio1!$C16-Foglio1!$D16/(Foglio1!$E16+Foglio2!BB$61))*Foglio2!BB68/Foglio1!$D$5</f>
        <v>0</v>
      </c>
      <c r="BC78">
        <f>EXP(Foglio1!$C16-Foglio1!$D16/(Foglio1!$E16+Foglio2!BC$61))*Foglio2!BC68/Foglio1!$D$5</f>
        <v>0</v>
      </c>
      <c r="BD78">
        <f>EXP(Foglio1!$C16-Foglio1!$D16/(Foglio1!$E16+Foglio2!BD$61))*Foglio2!BD68/Foglio1!$D$5</f>
        <v>0</v>
      </c>
      <c r="BE78">
        <f>EXP(Foglio1!$C16-Foglio1!$D16/(Foglio1!$E16+Foglio2!BE$61))*Foglio2!BE68/Foglio1!$D$5</f>
        <v>0</v>
      </c>
      <c r="BF78">
        <f>EXP(Foglio1!$C16-Foglio1!$D16/(Foglio1!$E16+Foglio2!BF$61))*Foglio2!BF68/Foglio1!$D$5</f>
        <v>0</v>
      </c>
      <c r="BG78">
        <f>EXP(Foglio1!$C16-Foglio1!$D16/(Foglio1!$E16+Foglio2!BG$61))*Foglio2!BG68/Foglio1!$D$5</f>
        <v>0</v>
      </c>
      <c r="BH78">
        <f>EXP(Foglio1!$C16-Foglio1!$D16/(Foglio1!$E16+Foglio2!BH$61))*Foglio2!BH68/Foglio1!$D$5</f>
        <v>0</v>
      </c>
      <c r="BI78">
        <f>EXP(Foglio1!$C16-Foglio1!$D16/(Foglio1!$E16+Foglio2!BI$61))*Foglio2!BI68/Foglio1!$D$5</f>
        <v>0</v>
      </c>
      <c r="BJ78">
        <f>EXP(Foglio1!$C16-Foglio1!$D16/(Foglio1!$E16+Foglio2!BJ$61))*Foglio2!BJ68/Foglio1!$D$5</f>
        <v>0</v>
      </c>
      <c r="BK78">
        <f>EXP(Foglio1!$C16-Foglio1!$D16/(Foglio1!$E16+Foglio2!BK$61))*Foglio2!BK68/Foglio1!$D$5</f>
        <v>0</v>
      </c>
      <c r="BL78">
        <f>EXP(Foglio1!$C16-Foglio1!$D16/(Foglio1!$E16+Foglio2!BL$61))*Foglio2!BL68/Foglio1!$D$5</f>
        <v>0</v>
      </c>
      <c r="BM78">
        <f>EXP(Foglio1!$C16-Foglio1!$D16/(Foglio1!$E16+Foglio2!BM$61))*Foglio2!BM68/Foglio1!$D$5</f>
        <v>0</v>
      </c>
      <c r="BN78">
        <f>EXP(Foglio1!$C16-Foglio1!$D16/(Foglio1!$E16+Foglio2!BN$61))*Foglio2!BN68/Foglio1!$D$5</f>
        <v>0</v>
      </c>
      <c r="BO78">
        <f>EXP(Foglio1!$C16-Foglio1!$D16/(Foglio1!$E16+Foglio2!BO$61))*Foglio2!BO68/Foglio1!$D$5</f>
        <v>0</v>
      </c>
      <c r="BP78">
        <f>EXP(Foglio1!$C16-Foglio1!$D16/(Foglio1!$E16+Foglio2!BP$61))*Foglio2!BP68/Foglio1!$D$5</f>
        <v>0</v>
      </c>
      <c r="BQ78">
        <f>EXP(Foglio1!$C16-Foglio1!$D16/(Foglio1!$E16+Foglio2!BQ$61))*Foglio2!BQ68/Foglio1!$D$5</f>
        <v>0</v>
      </c>
      <c r="BR78">
        <f>EXP(Foglio1!$C16-Foglio1!$D16/(Foglio1!$E16+Foglio2!BR$61))*Foglio2!BR68/Foglio1!$D$5</f>
        <v>0</v>
      </c>
      <c r="BS78">
        <f>EXP(Foglio1!$C16-Foglio1!$D16/(Foglio1!$E16+Foglio2!BS$61))*Foglio2!BS68/Foglio1!$D$5</f>
        <v>0</v>
      </c>
      <c r="BT78">
        <f>EXP(Foglio1!$C16-Foglio1!$D16/(Foglio1!$E16+Foglio2!BT$61))*Foglio2!BT68/Foglio1!$D$5</f>
        <v>0</v>
      </c>
      <c r="BU78">
        <f>EXP(Foglio1!$C16-Foglio1!$D16/(Foglio1!$E16+Foglio2!BU$61))*Foglio2!BU68/Foglio1!$D$5</f>
        <v>0</v>
      </c>
      <c r="BV78">
        <f>EXP(Foglio1!$C16-Foglio1!$D16/(Foglio1!$E16+Foglio2!BV$61))*Foglio2!BV68/Foglio1!$D$5</f>
        <v>0</v>
      </c>
      <c r="BW78">
        <f>EXP(Foglio1!$C16-Foglio1!$D16/(Foglio1!$E16+Foglio2!BW$61))*Foglio2!BW68/Foglio1!$D$5</f>
        <v>0</v>
      </c>
      <c r="BX78">
        <f>EXP(Foglio1!$C16-Foglio1!$D16/(Foglio1!$E16+Foglio2!BX$61))*Foglio2!BX68/Foglio1!$D$5</f>
        <v>0</v>
      </c>
      <c r="BY78">
        <f>EXP(Foglio1!$C16-Foglio1!$D16/(Foglio1!$E16+Foglio2!BY$61))*Foglio2!BY68/Foglio1!$D$5</f>
        <v>0</v>
      </c>
      <c r="BZ78">
        <f>EXP(Foglio1!$C16-Foglio1!$D16/(Foglio1!$E16+Foglio2!BZ$61))*Foglio2!BZ68/Foglio1!$D$5</f>
        <v>0</v>
      </c>
      <c r="CA78">
        <f>EXP(Foglio1!$C16-Foglio1!$D16/(Foglio1!$E16+Foglio2!CA$61))*Foglio2!CA68/Foglio1!$D$5</f>
        <v>0</v>
      </c>
      <c r="CB78">
        <f>EXP(Foglio1!$C16-Foglio1!$D16/(Foglio1!$E16+Foglio2!CB$61))*Foglio2!CB68/Foglio1!$D$5</f>
        <v>0</v>
      </c>
      <c r="CC78">
        <f>EXP(Foglio1!$C16-Foglio1!$D16/(Foglio1!$E16+Foglio2!CC$61))*Foglio2!CC68/Foglio1!$D$5</f>
        <v>0</v>
      </c>
      <c r="CD78">
        <f>EXP(Foglio1!$C16-Foglio1!$D16/(Foglio1!$E16+Foglio2!CD$61))*Foglio2!CD68/Foglio1!$D$5</f>
        <v>0</v>
      </c>
      <c r="CE78">
        <f>EXP(Foglio1!$C16-Foglio1!$D16/(Foglio1!$E16+Foglio2!CE$61))*Foglio2!CE68/Foglio1!$D$5</f>
        <v>0</v>
      </c>
      <c r="CF78">
        <f>EXP(Foglio1!$C16-Foglio1!$D16/(Foglio1!$E16+Foglio2!CF$61))*Foglio2!CF68/Foglio1!$D$5</f>
        <v>0</v>
      </c>
    </row>
    <row r="79" spans="34:84" x14ac:dyDescent="0.25">
      <c r="AH79" t="s">
        <v>74</v>
      </c>
      <c r="AI79">
        <f>EXP(Foglio1!$C17-Foglio1!$D17/(Foglio1!$E17+Foglio2!AI$61))*Foglio2!AI69/Foglio1!$D$5</f>
        <v>0</v>
      </c>
      <c r="AJ79">
        <f>EXP(Foglio1!$C17-Foglio1!$D17/(Foglio1!$E17+Foglio2!AJ$61))*Foglio2!AJ69/Foglio1!$D$5</f>
        <v>0</v>
      </c>
      <c r="AK79">
        <f>EXP(Foglio1!$C17-Foglio1!$D17/(Foglio1!$E17+Foglio2!AK$61))*Foglio2!AK69/Foglio1!$D$5</f>
        <v>0</v>
      </c>
      <c r="AL79">
        <f>EXP(Foglio1!$C17-Foglio1!$D17/(Foglio1!$E17+Foglio2!AL$61))*Foglio2!AL69/Foglio1!$D$5</f>
        <v>0</v>
      </c>
      <c r="AM79">
        <f>EXP(Foglio1!$C17-Foglio1!$D17/(Foglio1!$E17+Foglio2!AM$61))*Foglio2!AM69/Foglio1!$D$5</f>
        <v>0</v>
      </c>
      <c r="AN79">
        <f>EXP(Foglio1!$C17-Foglio1!$D17/(Foglio1!$E17+Foglio2!AN$61))*Foglio2!AN69/Foglio1!$D$5</f>
        <v>0</v>
      </c>
      <c r="AO79">
        <f>EXP(Foglio1!$C17-Foglio1!$D17/(Foglio1!$E17+Foglio2!AO$61))*Foglio2!AO69/Foglio1!$D$5</f>
        <v>0</v>
      </c>
      <c r="AP79">
        <f>EXP(Foglio1!$C17-Foglio1!$D17/(Foglio1!$E17+Foglio2!AP$61))*Foglio2!AP69/Foglio1!$D$5</f>
        <v>0</v>
      </c>
      <c r="AQ79">
        <f>EXP(Foglio1!$C17-Foglio1!$D17/(Foglio1!$E17+Foglio2!AQ$61))*Foglio2!AQ69/Foglio1!$D$5</f>
        <v>0</v>
      </c>
      <c r="AR79">
        <f>EXP(Foglio1!$C17-Foglio1!$D17/(Foglio1!$E17+Foglio2!AR$61))*Foglio2!AR69/Foglio1!$D$5</f>
        <v>0</v>
      </c>
      <c r="AS79">
        <f>EXP(Foglio1!$C17-Foglio1!$D17/(Foglio1!$E17+Foglio2!AS$61))*Foglio2!AS69/Foglio1!$D$5</f>
        <v>0</v>
      </c>
      <c r="AT79">
        <f>EXP(Foglio1!$C17-Foglio1!$D17/(Foglio1!$E17+Foglio2!AT$61))*Foglio2!AT69/Foglio1!$D$5</f>
        <v>0</v>
      </c>
      <c r="AU79">
        <f>EXP(Foglio1!$C17-Foglio1!$D17/(Foglio1!$E17+Foglio2!AU$61))*Foglio2!AU69/Foglio1!$D$5</f>
        <v>0</v>
      </c>
      <c r="AV79">
        <f>EXP(Foglio1!$C17-Foglio1!$D17/(Foglio1!$E17+Foglio2!AV$61))*Foglio2!AV69/Foglio1!$D$5</f>
        <v>0</v>
      </c>
      <c r="AW79">
        <f>EXP(Foglio1!$C17-Foglio1!$D17/(Foglio1!$E17+Foglio2!AW$61))*Foglio2!AW69/Foglio1!$D$5</f>
        <v>0</v>
      </c>
      <c r="AX79">
        <f>EXP(Foglio1!$C17-Foglio1!$D17/(Foglio1!$E17+Foglio2!AX$61))*Foglio2!AX69/Foglio1!$D$5</f>
        <v>0</v>
      </c>
      <c r="AY79">
        <f>EXP(Foglio1!$C17-Foglio1!$D17/(Foglio1!$E17+Foglio2!AY$61))*Foglio2!AY69/Foglio1!$D$5</f>
        <v>0</v>
      </c>
      <c r="AZ79">
        <f>EXP(Foglio1!$C17-Foglio1!$D17/(Foglio1!$E17+Foglio2!AZ$61))*Foglio2!AZ69/Foglio1!$D$5</f>
        <v>0</v>
      </c>
      <c r="BA79">
        <f>EXP(Foglio1!$C17-Foglio1!$D17/(Foglio1!$E17+Foglio2!BA$61))*Foglio2!BA69/Foglio1!$D$5</f>
        <v>0</v>
      </c>
      <c r="BB79">
        <f>EXP(Foglio1!$C17-Foglio1!$D17/(Foglio1!$E17+Foglio2!BB$61))*Foglio2!BB69/Foglio1!$D$5</f>
        <v>0</v>
      </c>
      <c r="BC79">
        <f>EXP(Foglio1!$C17-Foglio1!$D17/(Foglio1!$E17+Foglio2!BC$61))*Foglio2!BC69/Foglio1!$D$5</f>
        <v>0</v>
      </c>
      <c r="BD79">
        <f>EXP(Foglio1!$C17-Foglio1!$D17/(Foglio1!$E17+Foglio2!BD$61))*Foglio2!BD69/Foglio1!$D$5</f>
        <v>0</v>
      </c>
      <c r="BE79">
        <f>EXP(Foglio1!$C17-Foglio1!$D17/(Foglio1!$E17+Foglio2!BE$61))*Foglio2!BE69/Foglio1!$D$5</f>
        <v>0</v>
      </c>
      <c r="BF79">
        <f>EXP(Foglio1!$C17-Foglio1!$D17/(Foglio1!$E17+Foglio2!BF$61))*Foglio2!BF69/Foglio1!$D$5</f>
        <v>0</v>
      </c>
      <c r="BG79">
        <f>EXP(Foglio1!$C17-Foglio1!$D17/(Foglio1!$E17+Foglio2!BG$61))*Foglio2!BG69/Foglio1!$D$5</f>
        <v>0</v>
      </c>
      <c r="BH79">
        <f>EXP(Foglio1!$C17-Foglio1!$D17/(Foglio1!$E17+Foglio2!BH$61))*Foglio2!BH69/Foglio1!$D$5</f>
        <v>0</v>
      </c>
      <c r="BI79">
        <f>EXP(Foglio1!$C17-Foglio1!$D17/(Foglio1!$E17+Foglio2!BI$61))*Foglio2!BI69/Foglio1!$D$5</f>
        <v>0</v>
      </c>
      <c r="BJ79">
        <f>EXP(Foglio1!$C17-Foglio1!$D17/(Foglio1!$E17+Foglio2!BJ$61))*Foglio2!BJ69/Foglio1!$D$5</f>
        <v>0</v>
      </c>
      <c r="BK79">
        <f>EXP(Foglio1!$C17-Foglio1!$D17/(Foglio1!$E17+Foglio2!BK$61))*Foglio2!BK69/Foglio1!$D$5</f>
        <v>0</v>
      </c>
      <c r="BL79">
        <f>EXP(Foglio1!$C17-Foglio1!$D17/(Foglio1!$E17+Foglio2!BL$61))*Foglio2!BL69/Foglio1!$D$5</f>
        <v>0</v>
      </c>
      <c r="BM79">
        <f>EXP(Foglio1!$C17-Foglio1!$D17/(Foglio1!$E17+Foglio2!BM$61))*Foglio2!BM69/Foglio1!$D$5</f>
        <v>0</v>
      </c>
      <c r="BN79">
        <f>EXP(Foglio1!$C17-Foglio1!$D17/(Foglio1!$E17+Foglio2!BN$61))*Foglio2!BN69/Foglio1!$D$5</f>
        <v>0</v>
      </c>
      <c r="BO79">
        <f>EXP(Foglio1!$C17-Foglio1!$D17/(Foglio1!$E17+Foglio2!BO$61))*Foglio2!BO69/Foglio1!$D$5</f>
        <v>0</v>
      </c>
      <c r="BP79">
        <f>EXP(Foglio1!$C17-Foglio1!$D17/(Foglio1!$E17+Foglio2!BP$61))*Foglio2!BP69/Foglio1!$D$5</f>
        <v>0</v>
      </c>
      <c r="BQ79">
        <f>EXP(Foglio1!$C17-Foglio1!$D17/(Foglio1!$E17+Foglio2!BQ$61))*Foglio2!BQ69/Foglio1!$D$5</f>
        <v>0</v>
      </c>
      <c r="BR79">
        <f>EXP(Foglio1!$C17-Foglio1!$D17/(Foglio1!$E17+Foglio2!BR$61))*Foglio2!BR69/Foglio1!$D$5</f>
        <v>0</v>
      </c>
      <c r="BS79">
        <f>EXP(Foglio1!$C17-Foglio1!$D17/(Foglio1!$E17+Foglio2!BS$61))*Foglio2!BS69/Foglio1!$D$5</f>
        <v>0</v>
      </c>
      <c r="BT79">
        <f>EXP(Foglio1!$C17-Foglio1!$D17/(Foglio1!$E17+Foglio2!BT$61))*Foglio2!BT69/Foglio1!$D$5</f>
        <v>0</v>
      </c>
      <c r="BU79">
        <f>EXP(Foglio1!$C17-Foglio1!$D17/(Foglio1!$E17+Foglio2!BU$61))*Foglio2!BU69/Foglio1!$D$5</f>
        <v>0</v>
      </c>
      <c r="BV79">
        <f>EXP(Foglio1!$C17-Foglio1!$D17/(Foglio1!$E17+Foglio2!BV$61))*Foglio2!BV69/Foglio1!$D$5</f>
        <v>0</v>
      </c>
      <c r="BW79">
        <f>EXP(Foglio1!$C17-Foglio1!$D17/(Foglio1!$E17+Foglio2!BW$61))*Foglio2!BW69/Foglio1!$D$5</f>
        <v>0</v>
      </c>
      <c r="BX79">
        <f>EXP(Foglio1!$C17-Foglio1!$D17/(Foglio1!$E17+Foglio2!BX$61))*Foglio2!BX69/Foglio1!$D$5</f>
        <v>0</v>
      </c>
      <c r="BY79">
        <f>EXP(Foglio1!$C17-Foglio1!$D17/(Foglio1!$E17+Foglio2!BY$61))*Foglio2!BY69/Foglio1!$D$5</f>
        <v>0</v>
      </c>
      <c r="BZ79">
        <f>EXP(Foglio1!$C17-Foglio1!$D17/(Foglio1!$E17+Foglio2!BZ$61))*Foglio2!BZ69/Foglio1!$D$5</f>
        <v>0</v>
      </c>
      <c r="CA79">
        <f>EXP(Foglio1!$C17-Foglio1!$D17/(Foglio1!$E17+Foglio2!CA$61))*Foglio2!CA69/Foglio1!$D$5</f>
        <v>0</v>
      </c>
      <c r="CB79">
        <f>EXP(Foglio1!$C17-Foglio1!$D17/(Foglio1!$E17+Foglio2!CB$61))*Foglio2!CB69/Foglio1!$D$5</f>
        <v>0</v>
      </c>
      <c r="CC79">
        <f>EXP(Foglio1!$C17-Foglio1!$D17/(Foglio1!$E17+Foglio2!CC$61))*Foglio2!CC69/Foglio1!$D$5</f>
        <v>0</v>
      </c>
      <c r="CD79">
        <f>EXP(Foglio1!$C17-Foglio1!$D17/(Foglio1!$E17+Foglio2!CD$61))*Foglio2!CD69/Foglio1!$D$5</f>
        <v>0</v>
      </c>
      <c r="CE79">
        <f>EXP(Foglio1!$C17-Foglio1!$D17/(Foglio1!$E17+Foglio2!CE$61))*Foglio2!CE69/Foglio1!$D$5</f>
        <v>0</v>
      </c>
      <c r="CF79">
        <f>EXP(Foglio1!$C17-Foglio1!$D17/(Foglio1!$E17+Foglio2!CF$61))*Foglio2!CF69/Foglio1!$D$5</f>
        <v>0</v>
      </c>
    </row>
    <row r="80" spans="34:84" x14ac:dyDescent="0.25">
      <c r="AH80" t="s">
        <v>73</v>
      </c>
      <c r="AI80">
        <f>EXP(Foglio1!$C18-Foglio1!$D18/(Foglio1!$E18+Foglio2!AI$61))*Foglio2!AI70/Foglio1!$D$5</f>
        <v>0</v>
      </c>
      <c r="AJ80">
        <f>EXP(Foglio1!$C18-Foglio1!$D18/(Foglio1!$E18+Foglio2!AJ$61))*Foglio2!AJ70/Foglio1!$D$5</f>
        <v>0</v>
      </c>
      <c r="AK80">
        <f>EXP(Foglio1!$C18-Foglio1!$D18/(Foglio1!$E18+Foglio2!AK$61))*Foglio2!AK70/Foglio1!$D$5</f>
        <v>0</v>
      </c>
      <c r="AL80">
        <f>EXP(Foglio1!$C18-Foglio1!$D18/(Foglio1!$E18+Foglio2!AL$61))*Foglio2!AL70/Foglio1!$D$5</f>
        <v>0</v>
      </c>
      <c r="AM80">
        <f>EXP(Foglio1!$C18-Foglio1!$D18/(Foglio1!$E18+Foglio2!AM$61))*Foglio2!AM70/Foglio1!$D$5</f>
        <v>0</v>
      </c>
      <c r="AN80">
        <f>EXP(Foglio1!$C18-Foglio1!$D18/(Foglio1!$E18+Foglio2!AN$61))*Foglio2!AN70/Foglio1!$D$5</f>
        <v>0</v>
      </c>
      <c r="AO80">
        <f>EXP(Foglio1!$C18-Foglio1!$D18/(Foglio1!$E18+Foglio2!AO$61))*Foglio2!AO70/Foglio1!$D$5</f>
        <v>0</v>
      </c>
      <c r="AP80">
        <f>EXP(Foglio1!$C18-Foglio1!$D18/(Foglio1!$E18+Foglio2!AP$61))*Foglio2!AP70/Foglio1!$D$5</f>
        <v>0</v>
      </c>
      <c r="AQ80">
        <f>EXP(Foglio1!$C18-Foglio1!$D18/(Foglio1!$E18+Foglio2!AQ$61))*Foglio2!AQ70/Foglio1!$D$5</f>
        <v>0</v>
      </c>
      <c r="AR80">
        <f>EXP(Foglio1!$C18-Foglio1!$D18/(Foglio1!$E18+Foglio2!AR$61))*Foglio2!AR70/Foglio1!$D$5</f>
        <v>0</v>
      </c>
      <c r="AS80">
        <f>EXP(Foglio1!$C18-Foglio1!$D18/(Foglio1!$E18+Foglio2!AS$61))*Foglio2!AS70/Foglio1!$D$5</f>
        <v>0</v>
      </c>
      <c r="AT80">
        <f>EXP(Foglio1!$C18-Foglio1!$D18/(Foglio1!$E18+Foglio2!AT$61))*Foglio2!AT70/Foglio1!$D$5</f>
        <v>0</v>
      </c>
      <c r="AU80">
        <f>EXP(Foglio1!$C18-Foglio1!$D18/(Foglio1!$E18+Foglio2!AU$61))*Foglio2!AU70/Foglio1!$D$5</f>
        <v>0</v>
      </c>
      <c r="AV80">
        <f>EXP(Foglio1!$C18-Foglio1!$D18/(Foglio1!$E18+Foglio2!AV$61))*Foglio2!AV70/Foglio1!$D$5</f>
        <v>0</v>
      </c>
      <c r="AW80">
        <f>EXP(Foglio1!$C18-Foglio1!$D18/(Foglio1!$E18+Foglio2!AW$61))*Foglio2!AW70/Foglio1!$D$5</f>
        <v>0</v>
      </c>
      <c r="AX80">
        <f>EXP(Foglio1!$C18-Foglio1!$D18/(Foglio1!$E18+Foglio2!AX$61))*Foglio2!AX70/Foglio1!$D$5</f>
        <v>0</v>
      </c>
      <c r="AY80">
        <f>EXP(Foglio1!$C18-Foglio1!$D18/(Foglio1!$E18+Foglio2!AY$61))*Foglio2!AY70/Foglio1!$D$5</f>
        <v>0</v>
      </c>
      <c r="AZ80">
        <f>EXP(Foglio1!$C18-Foglio1!$D18/(Foglio1!$E18+Foglio2!AZ$61))*Foglio2!AZ70/Foglio1!$D$5</f>
        <v>0</v>
      </c>
      <c r="BA80">
        <f>EXP(Foglio1!$C18-Foglio1!$D18/(Foglio1!$E18+Foglio2!BA$61))*Foglio2!BA70/Foglio1!$D$5</f>
        <v>0</v>
      </c>
      <c r="BB80">
        <f>EXP(Foglio1!$C18-Foglio1!$D18/(Foglio1!$E18+Foglio2!BB$61))*Foglio2!BB70/Foglio1!$D$5</f>
        <v>0</v>
      </c>
      <c r="BC80">
        <f>EXP(Foglio1!$C18-Foglio1!$D18/(Foglio1!$E18+Foglio2!BC$61))*Foglio2!BC70/Foglio1!$D$5</f>
        <v>0</v>
      </c>
      <c r="BD80">
        <f>EXP(Foglio1!$C18-Foglio1!$D18/(Foglio1!$E18+Foglio2!BD$61))*Foglio2!BD70/Foglio1!$D$5</f>
        <v>0</v>
      </c>
      <c r="BE80">
        <f>EXP(Foglio1!$C18-Foglio1!$D18/(Foglio1!$E18+Foglio2!BE$61))*Foglio2!BE70/Foglio1!$D$5</f>
        <v>0</v>
      </c>
      <c r="BF80">
        <f>EXP(Foglio1!$C18-Foglio1!$D18/(Foglio1!$E18+Foglio2!BF$61))*Foglio2!BF70/Foglio1!$D$5</f>
        <v>0</v>
      </c>
      <c r="BG80">
        <f>EXP(Foglio1!$C18-Foglio1!$D18/(Foglio1!$E18+Foglio2!BG$61))*Foglio2!BG70/Foglio1!$D$5</f>
        <v>0</v>
      </c>
      <c r="BH80">
        <f>EXP(Foglio1!$C18-Foglio1!$D18/(Foglio1!$E18+Foglio2!BH$61))*Foglio2!BH70/Foglio1!$D$5</f>
        <v>0</v>
      </c>
      <c r="BI80">
        <f>EXP(Foglio1!$C18-Foglio1!$D18/(Foglio1!$E18+Foglio2!BI$61))*Foglio2!BI70/Foglio1!$D$5</f>
        <v>0</v>
      </c>
      <c r="BJ80">
        <f>EXP(Foglio1!$C18-Foglio1!$D18/(Foglio1!$E18+Foglio2!BJ$61))*Foglio2!BJ70/Foglio1!$D$5</f>
        <v>0</v>
      </c>
      <c r="BK80">
        <f>EXP(Foglio1!$C18-Foglio1!$D18/(Foglio1!$E18+Foglio2!BK$61))*Foglio2!BK70/Foglio1!$D$5</f>
        <v>0</v>
      </c>
      <c r="BL80">
        <f>EXP(Foglio1!$C18-Foglio1!$D18/(Foglio1!$E18+Foglio2!BL$61))*Foglio2!BL70/Foglio1!$D$5</f>
        <v>0</v>
      </c>
      <c r="BM80">
        <f>EXP(Foglio1!$C18-Foglio1!$D18/(Foglio1!$E18+Foglio2!BM$61))*Foglio2!BM70/Foglio1!$D$5</f>
        <v>0</v>
      </c>
      <c r="BN80">
        <f>EXP(Foglio1!$C18-Foglio1!$D18/(Foglio1!$E18+Foglio2!BN$61))*Foglio2!BN70/Foglio1!$D$5</f>
        <v>0</v>
      </c>
      <c r="BO80">
        <f>EXP(Foglio1!$C18-Foglio1!$D18/(Foglio1!$E18+Foglio2!BO$61))*Foglio2!BO70/Foglio1!$D$5</f>
        <v>0</v>
      </c>
      <c r="BP80">
        <f>EXP(Foglio1!$C18-Foglio1!$D18/(Foglio1!$E18+Foglio2!BP$61))*Foglio2!BP70/Foglio1!$D$5</f>
        <v>0</v>
      </c>
      <c r="BQ80">
        <f>EXP(Foglio1!$C18-Foglio1!$D18/(Foglio1!$E18+Foglio2!BQ$61))*Foglio2!BQ70/Foglio1!$D$5</f>
        <v>0</v>
      </c>
      <c r="BR80">
        <f>EXP(Foglio1!$C18-Foglio1!$D18/(Foglio1!$E18+Foglio2!BR$61))*Foglio2!BR70/Foglio1!$D$5</f>
        <v>0</v>
      </c>
      <c r="BS80">
        <f>EXP(Foglio1!$C18-Foglio1!$D18/(Foglio1!$E18+Foglio2!BS$61))*Foglio2!BS70/Foglio1!$D$5</f>
        <v>0</v>
      </c>
      <c r="BT80">
        <f>EXP(Foglio1!$C18-Foglio1!$D18/(Foglio1!$E18+Foglio2!BT$61))*Foglio2!BT70/Foglio1!$D$5</f>
        <v>0</v>
      </c>
      <c r="BU80">
        <f>EXP(Foglio1!$C18-Foglio1!$D18/(Foglio1!$E18+Foglio2!BU$61))*Foglio2!BU70/Foglio1!$D$5</f>
        <v>0</v>
      </c>
      <c r="BV80">
        <f>EXP(Foglio1!$C18-Foglio1!$D18/(Foglio1!$E18+Foglio2!BV$61))*Foglio2!BV70/Foglio1!$D$5</f>
        <v>0</v>
      </c>
      <c r="BW80">
        <f>EXP(Foglio1!$C18-Foglio1!$D18/(Foglio1!$E18+Foglio2!BW$61))*Foglio2!BW70/Foglio1!$D$5</f>
        <v>0</v>
      </c>
      <c r="BX80">
        <f>EXP(Foglio1!$C18-Foglio1!$D18/(Foglio1!$E18+Foglio2!BX$61))*Foglio2!BX70/Foglio1!$D$5</f>
        <v>0</v>
      </c>
      <c r="BY80">
        <f>EXP(Foglio1!$C18-Foglio1!$D18/(Foglio1!$E18+Foglio2!BY$61))*Foglio2!BY70/Foglio1!$D$5</f>
        <v>0</v>
      </c>
      <c r="BZ80">
        <f>EXP(Foglio1!$C18-Foglio1!$D18/(Foglio1!$E18+Foglio2!BZ$61))*Foglio2!BZ70/Foglio1!$D$5</f>
        <v>0</v>
      </c>
      <c r="CA80">
        <f>EXP(Foglio1!$C18-Foglio1!$D18/(Foglio1!$E18+Foglio2!CA$61))*Foglio2!CA70/Foglio1!$D$5</f>
        <v>0</v>
      </c>
      <c r="CB80">
        <f>EXP(Foglio1!$C18-Foglio1!$D18/(Foglio1!$E18+Foglio2!CB$61))*Foglio2!CB70/Foglio1!$D$5</f>
        <v>0</v>
      </c>
      <c r="CC80">
        <f>EXP(Foglio1!$C18-Foglio1!$D18/(Foglio1!$E18+Foglio2!CC$61))*Foglio2!CC70/Foglio1!$D$5</f>
        <v>0</v>
      </c>
      <c r="CD80">
        <f>EXP(Foglio1!$C18-Foglio1!$D18/(Foglio1!$E18+Foglio2!CD$61))*Foglio2!CD70/Foglio1!$D$5</f>
        <v>0</v>
      </c>
      <c r="CE80">
        <f>EXP(Foglio1!$C18-Foglio1!$D18/(Foglio1!$E18+Foglio2!CE$61))*Foglio2!CE70/Foglio1!$D$5</f>
        <v>0</v>
      </c>
      <c r="CF80">
        <f>EXP(Foglio1!$C18-Foglio1!$D18/(Foglio1!$E18+Foglio2!CF$61))*Foglio2!CF70/Foglio1!$D$5</f>
        <v>0</v>
      </c>
    </row>
    <row r="81" spans="34:84" x14ac:dyDescent="0.25">
      <c r="AH81" t="s">
        <v>75</v>
      </c>
      <c r="AI81">
        <f>EXP(Foglio1!$C19-Foglio1!$D19/(Foglio1!$E19+Foglio2!AI$61))*Foglio2!AI71/Foglio1!$D$5</f>
        <v>0</v>
      </c>
      <c r="AJ81">
        <f>EXP(Foglio1!$C19-Foglio1!$D19/(Foglio1!$E19+Foglio2!AJ$61))*Foglio2!AJ71/Foglio1!$D$5</f>
        <v>0</v>
      </c>
      <c r="AK81">
        <f>EXP(Foglio1!$C19-Foglio1!$D19/(Foglio1!$E19+Foglio2!AK$61))*Foglio2!AK71/Foglio1!$D$5</f>
        <v>0</v>
      </c>
      <c r="AL81">
        <f>EXP(Foglio1!$C19-Foglio1!$D19/(Foglio1!$E19+Foglio2!AL$61))*Foglio2!AL71/Foglio1!$D$5</f>
        <v>0</v>
      </c>
      <c r="AM81">
        <f>EXP(Foglio1!$C19-Foglio1!$D19/(Foglio1!$E19+Foglio2!AM$61))*Foglio2!AM71/Foglio1!$D$5</f>
        <v>0</v>
      </c>
      <c r="AN81">
        <f>EXP(Foglio1!$C19-Foglio1!$D19/(Foglio1!$E19+Foglio2!AN$61))*Foglio2!AN71/Foglio1!$D$5</f>
        <v>0</v>
      </c>
      <c r="AO81">
        <f>EXP(Foglio1!$C19-Foglio1!$D19/(Foglio1!$E19+Foglio2!AO$61))*Foglio2!AO71/Foglio1!$D$5</f>
        <v>0</v>
      </c>
      <c r="AP81">
        <f>EXP(Foglio1!$C19-Foglio1!$D19/(Foglio1!$E19+Foglio2!AP$61))*Foglio2!AP71/Foglio1!$D$5</f>
        <v>0</v>
      </c>
      <c r="AQ81">
        <f>EXP(Foglio1!$C19-Foglio1!$D19/(Foglio1!$E19+Foglio2!AQ$61))*Foglio2!AQ71/Foglio1!$D$5</f>
        <v>0</v>
      </c>
      <c r="AR81">
        <f>EXP(Foglio1!$C19-Foglio1!$D19/(Foglio1!$E19+Foglio2!AR$61))*Foglio2!AR71/Foglio1!$D$5</f>
        <v>0</v>
      </c>
      <c r="AS81">
        <f>EXP(Foglio1!$C19-Foglio1!$D19/(Foglio1!$E19+Foglio2!AS$61))*Foglio2!AS71/Foglio1!$D$5</f>
        <v>0</v>
      </c>
      <c r="AT81">
        <f>EXP(Foglio1!$C19-Foglio1!$D19/(Foglio1!$E19+Foglio2!AT$61))*Foglio2!AT71/Foglio1!$D$5</f>
        <v>0</v>
      </c>
      <c r="AU81">
        <f>EXP(Foglio1!$C19-Foglio1!$D19/(Foglio1!$E19+Foglio2!AU$61))*Foglio2!AU71/Foglio1!$D$5</f>
        <v>0</v>
      </c>
      <c r="AV81">
        <f>EXP(Foglio1!$C19-Foglio1!$D19/(Foglio1!$E19+Foglio2!AV$61))*Foglio2!AV71/Foglio1!$D$5</f>
        <v>0</v>
      </c>
      <c r="AW81">
        <f>EXP(Foglio1!$C19-Foglio1!$D19/(Foglio1!$E19+Foglio2!AW$61))*Foglio2!AW71/Foglio1!$D$5</f>
        <v>0</v>
      </c>
      <c r="AX81">
        <f>EXP(Foglio1!$C19-Foglio1!$D19/(Foglio1!$E19+Foglio2!AX$61))*Foglio2!AX71/Foglio1!$D$5</f>
        <v>0</v>
      </c>
      <c r="AY81">
        <f>EXP(Foglio1!$C19-Foglio1!$D19/(Foglio1!$E19+Foglio2!AY$61))*Foglio2!AY71/Foglio1!$D$5</f>
        <v>0</v>
      </c>
      <c r="AZ81">
        <f>EXP(Foglio1!$C19-Foglio1!$D19/(Foglio1!$E19+Foglio2!AZ$61))*Foglio2!AZ71/Foglio1!$D$5</f>
        <v>0</v>
      </c>
      <c r="BA81">
        <f>EXP(Foglio1!$C19-Foglio1!$D19/(Foglio1!$E19+Foglio2!BA$61))*Foglio2!BA71/Foglio1!$D$5</f>
        <v>0</v>
      </c>
      <c r="BB81">
        <f>EXP(Foglio1!$C19-Foglio1!$D19/(Foglio1!$E19+Foglio2!BB$61))*Foglio2!BB71/Foglio1!$D$5</f>
        <v>0</v>
      </c>
      <c r="BC81">
        <f>EXP(Foglio1!$C19-Foglio1!$D19/(Foglio1!$E19+Foglio2!BC$61))*Foglio2!BC71/Foglio1!$D$5</f>
        <v>0</v>
      </c>
      <c r="BD81">
        <f>EXP(Foglio1!$C19-Foglio1!$D19/(Foglio1!$E19+Foglio2!BD$61))*Foglio2!BD71/Foglio1!$D$5</f>
        <v>0</v>
      </c>
      <c r="BE81">
        <f>EXP(Foglio1!$C19-Foglio1!$D19/(Foglio1!$E19+Foglio2!BE$61))*Foglio2!BE71/Foglio1!$D$5</f>
        <v>0</v>
      </c>
      <c r="BF81">
        <f>EXP(Foglio1!$C19-Foglio1!$D19/(Foglio1!$E19+Foglio2!BF$61))*Foglio2!BF71/Foglio1!$D$5</f>
        <v>0</v>
      </c>
      <c r="BG81">
        <f>EXP(Foglio1!$C19-Foglio1!$D19/(Foglio1!$E19+Foglio2!BG$61))*Foglio2!BG71/Foglio1!$D$5</f>
        <v>0</v>
      </c>
      <c r="BH81">
        <f>EXP(Foglio1!$C19-Foglio1!$D19/(Foglio1!$E19+Foglio2!BH$61))*Foglio2!BH71/Foglio1!$D$5</f>
        <v>0</v>
      </c>
      <c r="BI81">
        <f>EXP(Foglio1!$C19-Foglio1!$D19/(Foglio1!$E19+Foglio2!BI$61))*Foglio2!BI71/Foglio1!$D$5</f>
        <v>0</v>
      </c>
      <c r="BJ81">
        <f>EXP(Foglio1!$C19-Foglio1!$D19/(Foglio1!$E19+Foglio2!BJ$61))*Foglio2!BJ71/Foglio1!$D$5</f>
        <v>0</v>
      </c>
      <c r="BK81">
        <f>EXP(Foglio1!$C19-Foglio1!$D19/(Foglio1!$E19+Foglio2!BK$61))*Foglio2!BK71/Foglio1!$D$5</f>
        <v>0</v>
      </c>
      <c r="BL81">
        <f>EXP(Foglio1!$C19-Foglio1!$D19/(Foglio1!$E19+Foglio2!BL$61))*Foglio2!BL71/Foglio1!$D$5</f>
        <v>0</v>
      </c>
      <c r="BM81">
        <f>EXP(Foglio1!$C19-Foglio1!$D19/(Foglio1!$E19+Foglio2!BM$61))*Foglio2!BM71/Foglio1!$D$5</f>
        <v>0</v>
      </c>
      <c r="BN81">
        <f>EXP(Foglio1!$C19-Foglio1!$D19/(Foglio1!$E19+Foglio2!BN$61))*Foglio2!BN71/Foglio1!$D$5</f>
        <v>0</v>
      </c>
      <c r="BO81">
        <f>EXP(Foglio1!$C19-Foglio1!$D19/(Foglio1!$E19+Foglio2!BO$61))*Foglio2!BO71/Foglio1!$D$5</f>
        <v>0</v>
      </c>
      <c r="BP81">
        <f>EXP(Foglio1!$C19-Foglio1!$D19/(Foglio1!$E19+Foglio2!BP$61))*Foglio2!BP71/Foglio1!$D$5</f>
        <v>0</v>
      </c>
      <c r="BQ81">
        <f>EXP(Foglio1!$C19-Foglio1!$D19/(Foglio1!$E19+Foglio2!BQ$61))*Foglio2!BQ71/Foglio1!$D$5</f>
        <v>0</v>
      </c>
      <c r="BR81">
        <f>EXP(Foglio1!$C19-Foglio1!$D19/(Foglio1!$E19+Foglio2!BR$61))*Foglio2!BR71/Foglio1!$D$5</f>
        <v>0</v>
      </c>
      <c r="BS81">
        <f>EXP(Foglio1!$C19-Foglio1!$D19/(Foglio1!$E19+Foglio2!BS$61))*Foglio2!BS71/Foglio1!$D$5</f>
        <v>0</v>
      </c>
      <c r="BT81">
        <f>EXP(Foglio1!$C19-Foglio1!$D19/(Foglio1!$E19+Foglio2!BT$61))*Foglio2!BT71/Foglio1!$D$5</f>
        <v>0</v>
      </c>
      <c r="BU81">
        <f>EXP(Foglio1!$C19-Foglio1!$D19/(Foglio1!$E19+Foglio2!BU$61))*Foglio2!BU71/Foglio1!$D$5</f>
        <v>0</v>
      </c>
      <c r="BV81">
        <f>EXP(Foglio1!$C19-Foglio1!$D19/(Foglio1!$E19+Foglio2!BV$61))*Foglio2!BV71/Foglio1!$D$5</f>
        <v>0</v>
      </c>
      <c r="BW81">
        <f>EXP(Foglio1!$C19-Foglio1!$D19/(Foglio1!$E19+Foglio2!BW$61))*Foglio2!BW71/Foglio1!$D$5</f>
        <v>0</v>
      </c>
      <c r="BX81">
        <f>EXP(Foglio1!$C19-Foglio1!$D19/(Foglio1!$E19+Foglio2!BX$61))*Foglio2!BX71/Foglio1!$D$5</f>
        <v>0</v>
      </c>
      <c r="BY81">
        <f>EXP(Foglio1!$C19-Foglio1!$D19/(Foglio1!$E19+Foglio2!BY$61))*Foglio2!BY71/Foglio1!$D$5</f>
        <v>0</v>
      </c>
      <c r="BZ81">
        <f>EXP(Foglio1!$C19-Foglio1!$D19/(Foglio1!$E19+Foglio2!BZ$61))*Foglio2!BZ71/Foglio1!$D$5</f>
        <v>0</v>
      </c>
      <c r="CA81">
        <f>EXP(Foglio1!$C19-Foglio1!$D19/(Foglio1!$E19+Foglio2!CA$61))*Foglio2!CA71/Foglio1!$D$5</f>
        <v>0</v>
      </c>
      <c r="CB81">
        <f>EXP(Foglio1!$C19-Foglio1!$D19/(Foglio1!$E19+Foglio2!CB$61))*Foglio2!CB71/Foglio1!$D$5</f>
        <v>0</v>
      </c>
      <c r="CC81">
        <f>EXP(Foglio1!$C19-Foglio1!$D19/(Foglio1!$E19+Foglio2!CC$61))*Foglio2!CC71/Foglio1!$D$5</f>
        <v>0</v>
      </c>
      <c r="CD81">
        <f>EXP(Foglio1!$C19-Foglio1!$D19/(Foglio1!$E19+Foglio2!CD$61))*Foglio2!CD71/Foglio1!$D$5</f>
        <v>0</v>
      </c>
      <c r="CE81">
        <f>EXP(Foglio1!$C19-Foglio1!$D19/(Foglio1!$E19+Foglio2!CE$61))*Foglio2!CE71/Foglio1!$D$5</f>
        <v>0</v>
      </c>
      <c r="CF81">
        <f>EXP(Foglio1!$C19-Foglio1!$D19/(Foglio1!$E19+Foglio2!CF$61))*Foglio2!CF71/Foglio1!$D$5</f>
        <v>0</v>
      </c>
    </row>
    <row r="82" spans="34:84" x14ac:dyDescent="0.25">
      <c r="AH82" t="s">
        <v>76</v>
      </c>
      <c r="AI82">
        <f>SUM(AI72:AI81)</f>
        <v>1.0905688131628914</v>
      </c>
      <c r="AJ82">
        <f>SUM(AJ72:AJ81)</f>
        <v>0.27563667760274529</v>
      </c>
      <c r="AK82">
        <f t="shared" ref="AK82:BR82" si="35">SUM(AK72:AK81)</f>
        <v>0.58329562649896849</v>
      </c>
      <c r="AL82">
        <f t="shared" si="35"/>
        <v>0.808405441828842</v>
      </c>
      <c r="AM82">
        <f t="shared" si="35"/>
        <v>0.94191862770320145</v>
      </c>
      <c r="AN82">
        <f t="shared" si="35"/>
        <v>1.0142980264131036</v>
      </c>
      <c r="AO82">
        <f t="shared" si="35"/>
        <v>0.97762854666273413</v>
      </c>
      <c r="AP82">
        <f t="shared" si="35"/>
        <v>0.99584250756254422</v>
      </c>
      <c r="AQ82">
        <f t="shared" si="35"/>
        <v>1.0050399683085416</v>
      </c>
      <c r="AR82">
        <f t="shared" si="35"/>
        <v>1.0004336762441015</v>
      </c>
      <c r="AS82">
        <f t="shared" si="35"/>
        <v>0.99813620310395113</v>
      </c>
      <c r="AT82">
        <f t="shared" si="35"/>
        <v>0.9992844672711938</v>
      </c>
      <c r="AU82">
        <f t="shared" si="35"/>
        <v>0.99985895363157007</v>
      </c>
      <c r="AV82">
        <f t="shared" si="35"/>
        <v>1.0001462854031469</v>
      </c>
      <c r="AW82">
        <f t="shared" si="35"/>
        <v>1.0000026121340824</v>
      </c>
      <c r="AX82">
        <f t="shared" si="35"/>
        <v>0.99993078103705846</v>
      </c>
      <c r="AY82">
        <f t="shared" si="35"/>
        <v>0.99996669612412115</v>
      </c>
      <c r="AZ82">
        <f t="shared" si="35"/>
        <v>0.99998465401373871</v>
      </c>
      <c r="BA82">
        <f t="shared" si="35"/>
        <v>0.99999363304506983</v>
      </c>
      <c r="BB82">
        <f t="shared" si="35"/>
        <v>0.99999812258236531</v>
      </c>
      <c r="BC82">
        <f t="shared" si="35"/>
        <v>1.0000003673564215</v>
      </c>
      <c r="BD82">
        <f t="shared" si="35"/>
        <v>0.99999924496894277</v>
      </c>
      <c r="BE82">
        <f t="shared" si="35"/>
        <v>0.99999980616257</v>
      </c>
      <c r="BF82">
        <f t="shared" si="35"/>
        <v>1.0000000867594676</v>
      </c>
      <c r="BG82">
        <f t="shared" si="35"/>
        <v>0.99999994646101109</v>
      </c>
      <c r="BH82">
        <f t="shared" si="35"/>
        <v>1.0000000166102367</v>
      </c>
      <c r="BI82">
        <f t="shared" si="35"/>
        <v>0.99999998153562275</v>
      </c>
      <c r="BJ82">
        <f t="shared" si="35"/>
        <v>0.99999999907293136</v>
      </c>
      <c r="BK82">
        <f t="shared" si="35"/>
        <v>1.0000000078415845</v>
      </c>
      <c r="BL82">
        <f t="shared" si="35"/>
        <v>1.0000000034572569</v>
      </c>
      <c r="BM82">
        <f t="shared" si="35"/>
        <v>1.0000000012650954</v>
      </c>
      <c r="BN82">
        <f t="shared" si="35"/>
        <v>1.0000000001690128</v>
      </c>
      <c r="BO82">
        <f t="shared" si="35"/>
        <v>0.99999999962097208</v>
      </c>
      <c r="BP82">
        <f t="shared" si="35"/>
        <v>0.99999999989499044</v>
      </c>
      <c r="BQ82">
        <f t="shared" si="35"/>
        <v>1.0000000000320022</v>
      </c>
      <c r="BR82">
        <f t="shared" si="35"/>
        <v>0.99999999996349698</v>
      </c>
      <c r="BS82">
        <f t="shared" ref="BS82:CF82" si="36">SUM(BS72:BS81)</f>
        <v>0.99999999999775091</v>
      </c>
      <c r="BT82">
        <f t="shared" si="36"/>
        <v>1.0000000000148748</v>
      </c>
      <c r="BU82">
        <f t="shared" si="36"/>
        <v>1.0000000000063136</v>
      </c>
      <c r="BV82">
        <f t="shared" si="36"/>
        <v>1.0000000000020317</v>
      </c>
      <c r="BW82">
        <f t="shared" si="36"/>
        <v>0.99999999999988964</v>
      </c>
      <c r="BX82">
        <f t="shared" si="36"/>
        <v>1.000000000000961</v>
      </c>
      <c r="BY82">
        <f t="shared" si="36"/>
        <v>1.0000000000004257</v>
      </c>
      <c r="BZ82">
        <f t="shared" si="36"/>
        <v>1.0000000000001583</v>
      </c>
      <c r="CA82">
        <f t="shared" si="36"/>
        <v>1.0000000000000242</v>
      </c>
      <c r="CB82">
        <f t="shared" si="36"/>
        <v>0.99999999999995781</v>
      </c>
      <c r="CC82">
        <f t="shared" si="36"/>
        <v>0.99999999999998979</v>
      </c>
      <c r="CD82">
        <f t="shared" si="36"/>
        <v>1.0000000000000073</v>
      </c>
      <c r="CE82">
        <f t="shared" si="36"/>
        <v>0.99999999999999956</v>
      </c>
      <c r="CF82">
        <f t="shared" si="36"/>
        <v>1.0000000000000038</v>
      </c>
    </row>
    <row r="84" spans="34:84" x14ac:dyDescent="0.25">
      <c r="AH84" s="184" t="s">
        <v>198</v>
      </c>
      <c r="AI84" s="184"/>
      <c r="AJ84" s="184"/>
      <c r="AK84" s="184"/>
      <c r="AL84" s="184"/>
      <c r="AM84" s="184"/>
      <c r="AN84" s="184"/>
      <c r="AO84" s="184"/>
      <c r="AP84" s="184"/>
    </row>
    <row r="85" spans="34:84" x14ac:dyDescent="0.25">
      <c r="AH85" s="184"/>
      <c r="AI85" s="184"/>
      <c r="AJ85" s="184"/>
      <c r="AK85" s="184"/>
      <c r="AL85" s="184"/>
      <c r="AM85" s="184"/>
      <c r="AN85" s="184"/>
      <c r="AO85" s="184"/>
      <c r="AP85" s="184"/>
    </row>
    <row r="86" spans="34:84" x14ac:dyDescent="0.25">
      <c r="AI86">
        <v>1</v>
      </c>
      <c r="AJ86">
        <v>2</v>
      </c>
      <c r="AK86">
        <v>3</v>
      </c>
      <c r="AL86">
        <v>4</v>
      </c>
      <c r="AM86">
        <v>5</v>
      </c>
      <c r="AN86">
        <v>6</v>
      </c>
      <c r="AO86">
        <v>7</v>
      </c>
      <c r="AP86">
        <v>8</v>
      </c>
      <c r="AQ86">
        <v>9</v>
      </c>
      <c r="AR86">
        <v>10</v>
      </c>
      <c r="AS86">
        <v>11</v>
      </c>
      <c r="AT86">
        <v>12</v>
      </c>
      <c r="AU86">
        <v>13</v>
      </c>
      <c r="AV86">
        <v>14</v>
      </c>
      <c r="AW86">
        <v>15</v>
      </c>
      <c r="AX86">
        <v>16</v>
      </c>
      <c r="AY86">
        <v>17</v>
      </c>
      <c r="AZ86">
        <v>18</v>
      </c>
      <c r="BA86">
        <v>19</v>
      </c>
      <c r="BB86">
        <v>20</v>
      </c>
      <c r="BC86">
        <v>21</v>
      </c>
      <c r="BD86">
        <v>22</v>
      </c>
      <c r="BE86">
        <v>23</v>
      </c>
      <c r="BF86">
        <v>24</v>
      </c>
      <c r="BG86">
        <v>25</v>
      </c>
      <c r="BH86">
        <v>26</v>
      </c>
      <c r="BI86">
        <v>27</v>
      </c>
      <c r="BJ86">
        <v>28</v>
      </c>
      <c r="BK86">
        <v>29</v>
      </c>
      <c r="BL86">
        <v>30</v>
      </c>
      <c r="BM86">
        <v>31</v>
      </c>
      <c r="BN86">
        <v>32</v>
      </c>
      <c r="BO86">
        <v>33</v>
      </c>
      <c r="BP86">
        <v>34</v>
      </c>
      <c r="BQ86">
        <v>35</v>
      </c>
      <c r="BR86">
        <v>36</v>
      </c>
      <c r="BS86">
        <v>37</v>
      </c>
      <c r="BT86">
        <v>38</v>
      </c>
      <c r="BU86">
        <v>39</v>
      </c>
      <c r="BV86">
        <v>40</v>
      </c>
      <c r="BW86">
        <v>41</v>
      </c>
      <c r="BX86">
        <v>42</v>
      </c>
      <c r="BY86">
        <v>43</v>
      </c>
      <c r="BZ86">
        <v>44</v>
      </c>
      <c r="CA86">
        <v>45</v>
      </c>
      <c r="CB86">
        <v>46</v>
      </c>
      <c r="CC86">
        <v>47</v>
      </c>
      <c r="CD86">
        <v>48</v>
      </c>
      <c r="CE86">
        <v>49</v>
      </c>
      <c r="CF86">
        <v>50</v>
      </c>
    </row>
    <row r="87" spans="34:84" x14ac:dyDescent="0.25">
      <c r="AH87" t="s">
        <v>53</v>
      </c>
      <c r="AI87">
        <f>MAX(Foglio1!$F$10:$F$19)*2</f>
        <v>233.3720572771723</v>
      </c>
      <c r="AJ87">
        <f t="shared" ref="AJ87:BO87" si="37">IF(AI110&gt;1,AI89,AI87)</f>
        <v>116.68602863858615</v>
      </c>
      <c r="AK87">
        <f t="shared" si="37"/>
        <v>116.68602863858615</v>
      </c>
      <c r="AL87">
        <f t="shared" si="37"/>
        <v>87.514521478939614</v>
      </c>
      <c r="AM87">
        <f t="shared" si="37"/>
        <v>87.514521478939614</v>
      </c>
      <c r="AN87">
        <f t="shared" si="37"/>
        <v>80.221644689027983</v>
      </c>
      <c r="AO87">
        <f t="shared" si="37"/>
        <v>80.221644689027983</v>
      </c>
      <c r="AP87">
        <f t="shared" si="37"/>
        <v>78.398425491550071</v>
      </c>
      <c r="AQ87">
        <f t="shared" si="37"/>
        <v>78.398425491550071</v>
      </c>
      <c r="AR87">
        <f t="shared" si="37"/>
        <v>78.398425491550071</v>
      </c>
      <c r="AS87">
        <f t="shared" si="37"/>
        <v>78.398425491550071</v>
      </c>
      <c r="AT87">
        <f t="shared" si="37"/>
        <v>78.398425491550071</v>
      </c>
      <c r="AU87">
        <f t="shared" si="37"/>
        <v>78.398425491550071</v>
      </c>
      <c r="AV87">
        <f t="shared" si="37"/>
        <v>78.398425491550071</v>
      </c>
      <c r="AW87">
        <f t="shared" si="37"/>
        <v>78.398425491550071</v>
      </c>
      <c r="AX87">
        <f t="shared" si="37"/>
        <v>78.391303541559921</v>
      </c>
      <c r="AY87">
        <f t="shared" si="37"/>
        <v>78.391303541559921</v>
      </c>
      <c r="AZ87">
        <f t="shared" si="37"/>
        <v>78.391303541559921</v>
      </c>
      <c r="BA87">
        <f t="shared" si="37"/>
        <v>78.390413297811151</v>
      </c>
      <c r="BB87">
        <f t="shared" si="37"/>
        <v>78.389968175936758</v>
      </c>
      <c r="BC87">
        <f t="shared" si="37"/>
        <v>78.389968175936758</v>
      </c>
      <c r="BD87">
        <f t="shared" si="37"/>
        <v>78.389856895468171</v>
      </c>
      <c r="BE87">
        <f t="shared" si="37"/>
        <v>78.389856895468171</v>
      </c>
      <c r="BF87">
        <f t="shared" si="37"/>
        <v>78.389829075351017</v>
      </c>
      <c r="BG87">
        <f t="shared" si="37"/>
        <v>78.389815165292447</v>
      </c>
      <c r="BH87">
        <f t="shared" si="37"/>
        <v>78.389808210263155</v>
      </c>
      <c r="BI87">
        <f t="shared" si="37"/>
        <v>78.389804732748502</v>
      </c>
      <c r="BJ87">
        <f t="shared" si="37"/>
        <v>78.389802993991182</v>
      </c>
      <c r="BK87">
        <f t="shared" si="37"/>
        <v>78.389802993991182</v>
      </c>
      <c r="BL87">
        <f t="shared" si="37"/>
        <v>78.389802993991182</v>
      </c>
      <c r="BM87">
        <f t="shared" si="37"/>
        <v>78.389802993991182</v>
      </c>
      <c r="BN87">
        <f t="shared" si="37"/>
        <v>78.389802885318858</v>
      </c>
      <c r="BO87">
        <f t="shared" si="37"/>
        <v>78.389802830982688</v>
      </c>
      <c r="BP87">
        <f t="shared" ref="BP87:CF87" si="38">IF(BO110&gt;1,BO89,BO87)</f>
        <v>78.389802803814604</v>
      </c>
      <c r="BQ87">
        <f t="shared" si="38"/>
        <v>78.389802790230561</v>
      </c>
      <c r="BR87">
        <f t="shared" si="38"/>
        <v>78.389802790230561</v>
      </c>
      <c r="BS87">
        <f t="shared" si="38"/>
        <v>78.389802786834551</v>
      </c>
      <c r="BT87">
        <f t="shared" si="38"/>
        <v>78.389802786834551</v>
      </c>
      <c r="BU87">
        <f t="shared" si="38"/>
        <v>78.389802785985552</v>
      </c>
      <c r="BV87">
        <f t="shared" si="38"/>
        <v>78.389802785561045</v>
      </c>
      <c r="BW87">
        <f t="shared" si="38"/>
        <v>78.389802785561045</v>
      </c>
      <c r="BX87">
        <f t="shared" si="38"/>
        <v>78.389802785454918</v>
      </c>
      <c r="BY87">
        <f t="shared" si="38"/>
        <v>78.389802785454918</v>
      </c>
      <c r="BZ87">
        <f t="shared" si="38"/>
        <v>78.389802785454918</v>
      </c>
      <c r="CA87">
        <f t="shared" si="38"/>
        <v>78.389802785441645</v>
      </c>
      <c r="CB87">
        <f t="shared" si="38"/>
        <v>78.389802785441645</v>
      </c>
      <c r="CC87">
        <f t="shared" si="38"/>
        <v>78.389802785441645</v>
      </c>
      <c r="CD87">
        <f t="shared" si="38"/>
        <v>78.389802785439997</v>
      </c>
      <c r="CE87">
        <f t="shared" si="38"/>
        <v>78.389802785439997</v>
      </c>
      <c r="CF87">
        <f t="shared" si="38"/>
        <v>78.389802785439585</v>
      </c>
    </row>
    <row r="88" spans="34:84" x14ac:dyDescent="0.25">
      <c r="AH88" t="s">
        <v>54</v>
      </c>
      <c r="AI88">
        <f>MIN(Foglio1!$F$10:$F$19)</f>
        <v>0</v>
      </c>
      <c r="AJ88">
        <f t="shared" ref="AJ88:BO88" si="39">IF(AI110&gt;1,AI88,AI89)</f>
        <v>0</v>
      </c>
      <c r="AK88">
        <f t="shared" si="39"/>
        <v>58.343014319293076</v>
      </c>
      <c r="AL88">
        <f t="shared" si="39"/>
        <v>58.343014319293076</v>
      </c>
      <c r="AM88">
        <f t="shared" si="39"/>
        <v>72.928767899116338</v>
      </c>
      <c r="AN88">
        <f t="shared" si="39"/>
        <v>72.928767899116338</v>
      </c>
      <c r="AO88">
        <f t="shared" si="39"/>
        <v>76.57520629407216</v>
      </c>
      <c r="AP88">
        <f t="shared" si="39"/>
        <v>76.57520629407216</v>
      </c>
      <c r="AQ88">
        <f t="shared" si="39"/>
        <v>77.486815892811109</v>
      </c>
      <c r="AR88">
        <f t="shared" si="39"/>
        <v>77.942620692180583</v>
      </c>
      <c r="AS88">
        <f t="shared" si="39"/>
        <v>78.170523091865334</v>
      </c>
      <c r="AT88">
        <f t="shared" si="39"/>
        <v>78.28447429170771</v>
      </c>
      <c r="AU88">
        <f t="shared" si="39"/>
        <v>78.341449891628884</v>
      </c>
      <c r="AV88">
        <f t="shared" si="39"/>
        <v>78.369937691589485</v>
      </c>
      <c r="AW88">
        <f t="shared" si="39"/>
        <v>78.384181591569785</v>
      </c>
      <c r="AX88">
        <f t="shared" si="39"/>
        <v>78.384181591569785</v>
      </c>
      <c r="AY88">
        <f t="shared" si="39"/>
        <v>78.387742566564853</v>
      </c>
      <c r="AZ88">
        <f t="shared" si="39"/>
        <v>78.38952305406238</v>
      </c>
      <c r="BA88">
        <f t="shared" si="39"/>
        <v>78.38952305406238</v>
      </c>
      <c r="BB88">
        <f t="shared" si="39"/>
        <v>78.38952305406238</v>
      </c>
      <c r="BC88">
        <f t="shared" si="39"/>
        <v>78.389745614999569</v>
      </c>
      <c r="BD88">
        <f t="shared" si="39"/>
        <v>78.389745614999569</v>
      </c>
      <c r="BE88">
        <f t="shared" si="39"/>
        <v>78.389801255233863</v>
      </c>
      <c r="BF88">
        <f t="shared" si="39"/>
        <v>78.389801255233863</v>
      </c>
      <c r="BG88">
        <f t="shared" si="39"/>
        <v>78.389801255233863</v>
      </c>
      <c r="BH88">
        <f t="shared" si="39"/>
        <v>78.389801255233863</v>
      </c>
      <c r="BI88">
        <f t="shared" si="39"/>
        <v>78.389801255233863</v>
      </c>
      <c r="BJ88">
        <f t="shared" si="39"/>
        <v>78.389801255233863</v>
      </c>
      <c r="BK88">
        <f t="shared" si="39"/>
        <v>78.389802124612515</v>
      </c>
      <c r="BL88">
        <f t="shared" si="39"/>
        <v>78.389802559301842</v>
      </c>
      <c r="BM88">
        <f t="shared" si="39"/>
        <v>78.389802776646519</v>
      </c>
      <c r="BN88">
        <f t="shared" si="39"/>
        <v>78.389802776646519</v>
      </c>
      <c r="BO88">
        <f t="shared" si="39"/>
        <v>78.389802776646519</v>
      </c>
      <c r="BP88">
        <f t="shared" ref="BP88:CF88" si="40">IF(BO110&gt;1,BO88,BO89)</f>
        <v>78.389802776646519</v>
      </c>
      <c r="BQ88">
        <f t="shared" si="40"/>
        <v>78.389802776646519</v>
      </c>
      <c r="BR88">
        <f t="shared" si="40"/>
        <v>78.38980278343854</v>
      </c>
      <c r="BS88">
        <f t="shared" si="40"/>
        <v>78.38980278343854</v>
      </c>
      <c r="BT88">
        <f t="shared" si="40"/>
        <v>78.389802785136538</v>
      </c>
      <c r="BU88">
        <f t="shared" si="40"/>
        <v>78.389802785136538</v>
      </c>
      <c r="BV88">
        <f t="shared" si="40"/>
        <v>78.389802785136538</v>
      </c>
      <c r="BW88">
        <f t="shared" si="40"/>
        <v>78.389802785348792</v>
      </c>
      <c r="BX88">
        <f t="shared" si="40"/>
        <v>78.389802785348792</v>
      </c>
      <c r="BY88">
        <f t="shared" si="40"/>
        <v>78.389802785401855</v>
      </c>
      <c r="BZ88">
        <f t="shared" si="40"/>
        <v>78.389802785428387</v>
      </c>
      <c r="CA88">
        <f t="shared" si="40"/>
        <v>78.389802785428387</v>
      </c>
      <c r="CB88">
        <f t="shared" si="40"/>
        <v>78.389802785435023</v>
      </c>
      <c r="CC88">
        <f t="shared" si="40"/>
        <v>78.389802785438334</v>
      </c>
      <c r="CD88">
        <f t="shared" si="40"/>
        <v>78.389802785438334</v>
      </c>
      <c r="CE88">
        <f t="shared" si="40"/>
        <v>78.389802785439173</v>
      </c>
      <c r="CF88">
        <f t="shared" si="40"/>
        <v>78.389802785439173</v>
      </c>
    </row>
    <row r="89" spans="34:84" x14ac:dyDescent="0.25">
      <c r="AH89" t="s">
        <v>55</v>
      </c>
      <c r="AI89">
        <f>(AI87+AI88)/2</f>
        <v>116.68602863858615</v>
      </c>
      <c r="AJ89">
        <f>(AJ87+AJ88)/2</f>
        <v>58.343014319293076</v>
      </c>
      <c r="AK89">
        <f t="shared" ref="AK89:AP89" si="41">(AK87+AK88)/2</f>
        <v>87.514521478939614</v>
      </c>
      <c r="AL89">
        <f t="shared" si="41"/>
        <v>72.928767899116338</v>
      </c>
      <c r="AM89">
        <f t="shared" si="41"/>
        <v>80.221644689027983</v>
      </c>
      <c r="AN89">
        <f t="shared" si="41"/>
        <v>76.57520629407216</v>
      </c>
      <c r="AO89">
        <f t="shared" si="41"/>
        <v>78.398425491550071</v>
      </c>
      <c r="AP89">
        <f t="shared" si="41"/>
        <v>77.486815892811109</v>
      </c>
      <c r="AQ89">
        <f t="shared" ref="AQ89:CF89" si="42">(AQ87+AQ88)/2</f>
        <v>77.942620692180583</v>
      </c>
      <c r="AR89">
        <f t="shared" si="42"/>
        <v>78.170523091865334</v>
      </c>
      <c r="AS89">
        <f t="shared" si="42"/>
        <v>78.28447429170771</v>
      </c>
      <c r="AT89">
        <f t="shared" si="42"/>
        <v>78.341449891628884</v>
      </c>
      <c r="AU89">
        <f t="shared" si="42"/>
        <v>78.369937691589485</v>
      </c>
      <c r="AV89">
        <f t="shared" si="42"/>
        <v>78.384181591569785</v>
      </c>
      <c r="AW89">
        <f t="shared" si="42"/>
        <v>78.391303541559921</v>
      </c>
      <c r="AX89">
        <f t="shared" si="42"/>
        <v>78.387742566564853</v>
      </c>
      <c r="AY89">
        <f t="shared" si="42"/>
        <v>78.38952305406238</v>
      </c>
      <c r="AZ89">
        <f t="shared" si="42"/>
        <v>78.390413297811151</v>
      </c>
      <c r="BA89">
        <f t="shared" si="42"/>
        <v>78.389968175936758</v>
      </c>
      <c r="BB89">
        <f t="shared" si="42"/>
        <v>78.389745614999569</v>
      </c>
      <c r="BC89">
        <f t="shared" si="42"/>
        <v>78.389856895468171</v>
      </c>
      <c r="BD89">
        <f t="shared" si="42"/>
        <v>78.389801255233863</v>
      </c>
      <c r="BE89">
        <f t="shared" si="42"/>
        <v>78.389829075351017</v>
      </c>
      <c r="BF89">
        <f t="shared" si="42"/>
        <v>78.389815165292447</v>
      </c>
      <c r="BG89">
        <f t="shared" si="42"/>
        <v>78.389808210263155</v>
      </c>
      <c r="BH89">
        <f t="shared" si="42"/>
        <v>78.389804732748502</v>
      </c>
      <c r="BI89">
        <f t="shared" si="42"/>
        <v>78.389802993991182</v>
      </c>
      <c r="BJ89">
        <f t="shared" si="42"/>
        <v>78.389802124612515</v>
      </c>
      <c r="BK89">
        <f t="shared" si="42"/>
        <v>78.389802559301842</v>
      </c>
      <c r="BL89">
        <f t="shared" si="42"/>
        <v>78.389802776646519</v>
      </c>
      <c r="BM89">
        <f t="shared" si="42"/>
        <v>78.389802885318858</v>
      </c>
      <c r="BN89">
        <f t="shared" si="42"/>
        <v>78.389802830982688</v>
      </c>
      <c r="BO89">
        <f t="shared" si="42"/>
        <v>78.389802803814604</v>
      </c>
      <c r="BP89">
        <f t="shared" si="42"/>
        <v>78.389802790230561</v>
      </c>
      <c r="BQ89">
        <f t="shared" si="42"/>
        <v>78.38980278343854</v>
      </c>
      <c r="BR89">
        <f t="shared" si="42"/>
        <v>78.389802786834551</v>
      </c>
      <c r="BS89">
        <f t="shared" si="42"/>
        <v>78.389802785136538</v>
      </c>
      <c r="BT89">
        <f t="shared" si="42"/>
        <v>78.389802785985552</v>
      </c>
      <c r="BU89">
        <f t="shared" si="42"/>
        <v>78.389802785561045</v>
      </c>
      <c r="BV89">
        <f t="shared" si="42"/>
        <v>78.389802785348792</v>
      </c>
      <c r="BW89">
        <f t="shared" si="42"/>
        <v>78.389802785454918</v>
      </c>
      <c r="BX89">
        <f t="shared" si="42"/>
        <v>78.389802785401855</v>
      </c>
      <c r="BY89">
        <f t="shared" si="42"/>
        <v>78.389802785428387</v>
      </c>
      <c r="BZ89">
        <f t="shared" si="42"/>
        <v>78.389802785441645</v>
      </c>
      <c r="CA89">
        <f t="shared" si="42"/>
        <v>78.389802785435023</v>
      </c>
      <c r="CB89">
        <f t="shared" si="42"/>
        <v>78.389802785438334</v>
      </c>
      <c r="CC89">
        <f t="shared" si="42"/>
        <v>78.389802785439997</v>
      </c>
      <c r="CD89">
        <f t="shared" si="42"/>
        <v>78.389802785439173</v>
      </c>
      <c r="CE89">
        <f t="shared" si="42"/>
        <v>78.389802785439585</v>
      </c>
      <c r="CF89" s="43">
        <f t="shared" si="42"/>
        <v>78.389802785439372</v>
      </c>
    </row>
    <row r="90" spans="34:84" x14ac:dyDescent="0.25">
      <c r="AH90" t="s">
        <v>56</v>
      </c>
      <c r="AI90">
        <f>Foglio1!$N10</f>
        <v>7.2461434141379885E-2</v>
      </c>
      <c r="AJ90">
        <f>Foglio1!$N10</f>
        <v>7.2461434141379885E-2</v>
      </c>
      <c r="AK90">
        <f>Foglio1!$N10</f>
        <v>7.2461434141379885E-2</v>
      </c>
      <c r="AL90">
        <f>Foglio1!$N10</f>
        <v>7.2461434141379885E-2</v>
      </c>
      <c r="AM90">
        <f>Foglio1!$N10</f>
        <v>7.2461434141379885E-2</v>
      </c>
      <c r="AN90">
        <f>Foglio1!$N10</f>
        <v>7.2461434141379885E-2</v>
      </c>
      <c r="AO90">
        <f>Foglio1!$N10</f>
        <v>7.2461434141379885E-2</v>
      </c>
      <c r="AP90">
        <f>Foglio1!$N10</f>
        <v>7.2461434141379885E-2</v>
      </c>
      <c r="AQ90">
        <f>Foglio1!$N10</f>
        <v>7.2461434141379885E-2</v>
      </c>
      <c r="AR90">
        <f>Foglio1!$N10</f>
        <v>7.2461434141379885E-2</v>
      </c>
      <c r="AS90">
        <f>Foglio1!$N10</f>
        <v>7.2461434141379885E-2</v>
      </c>
      <c r="AT90">
        <f>Foglio1!$N10</f>
        <v>7.2461434141379885E-2</v>
      </c>
      <c r="AU90">
        <f>Foglio1!$N10</f>
        <v>7.2461434141379885E-2</v>
      </c>
      <c r="AV90">
        <f>Foglio1!$N10</f>
        <v>7.2461434141379885E-2</v>
      </c>
      <c r="AW90">
        <f>Foglio1!$N10</f>
        <v>7.2461434141379885E-2</v>
      </c>
      <c r="AX90">
        <f>Foglio1!$N10</f>
        <v>7.2461434141379885E-2</v>
      </c>
      <c r="AY90">
        <f>Foglio1!$N10</f>
        <v>7.2461434141379885E-2</v>
      </c>
      <c r="AZ90">
        <f>Foglio1!$N10</f>
        <v>7.2461434141379885E-2</v>
      </c>
      <c r="BA90">
        <f>Foglio1!$N10</f>
        <v>7.2461434141379885E-2</v>
      </c>
      <c r="BB90">
        <f>Foglio1!$N10</f>
        <v>7.2461434141379885E-2</v>
      </c>
      <c r="BC90">
        <f>Foglio1!$N10</f>
        <v>7.2461434141379885E-2</v>
      </c>
      <c r="BD90">
        <f>Foglio1!$N10</f>
        <v>7.2461434141379885E-2</v>
      </c>
      <c r="BE90">
        <f>Foglio1!$N10</f>
        <v>7.2461434141379885E-2</v>
      </c>
      <c r="BF90">
        <f>Foglio1!$N10</f>
        <v>7.2461434141379885E-2</v>
      </c>
      <c r="BG90">
        <f>Foglio1!$N10</f>
        <v>7.2461434141379885E-2</v>
      </c>
      <c r="BH90">
        <f>Foglio1!$N10</f>
        <v>7.2461434141379885E-2</v>
      </c>
      <c r="BI90">
        <f>Foglio1!$N10</f>
        <v>7.2461434141379885E-2</v>
      </c>
      <c r="BJ90">
        <f>Foglio1!$N10</f>
        <v>7.2461434141379885E-2</v>
      </c>
      <c r="BK90">
        <f>Foglio1!$N10</f>
        <v>7.2461434141379885E-2</v>
      </c>
      <c r="BL90">
        <f>Foglio1!$N10</f>
        <v>7.2461434141379885E-2</v>
      </c>
      <c r="BM90">
        <f>Foglio1!$N10</f>
        <v>7.2461434141379885E-2</v>
      </c>
      <c r="BN90">
        <f>Foglio1!$N10</f>
        <v>7.2461434141379885E-2</v>
      </c>
      <c r="BO90">
        <f>Foglio1!$N10</f>
        <v>7.2461434141379885E-2</v>
      </c>
      <c r="BP90">
        <f>Foglio1!$N10</f>
        <v>7.2461434141379885E-2</v>
      </c>
      <c r="BQ90">
        <f>Foglio1!$N10</f>
        <v>7.2461434141379885E-2</v>
      </c>
      <c r="BR90">
        <f>Foglio1!$N10</f>
        <v>7.2461434141379885E-2</v>
      </c>
      <c r="BS90">
        <f>Foglio1!$N10</f>
        <v>7.2461434141379885E-2</v>
      </c>
      <c r="BT90">
        <f>Foglio1!$N10</f>
        <v>7.2461434141379885E-2</v>
      </c>
      <c r="BU90">
        <f>Foglio1!$N10</f>
        <v>7.2461434141379885E-2</v>
      </c>
      <c r="BV90">
        <f>Foglio1!$N10</f>
        <v>7.2461434141379885E-2</v>
      </c>
      <c r="BW90">
        <f>Foglio1!$N10</f>
        <v>7.2461434141379885E-2</v>
      </c>
      <c r="BX90">
        <f>Foglio1!$N10</f>
        <v>7.2461434141379885E-2</v>
      </c>
      <c r="BY90">
        <f>Foglio1!$N10</f>
        <v>7.2461434141379885E-2</v>
      </c>
      <c r="BZ90">
        <f>Foglio1!$N10</f>
        <v>7.2461434141379885E-2</v>
      </c>
      <c r="CA90">
        <f>Foglio1!$N10</f>
        <v>7.2461434141379885E-2</v>
      </c>
      <c r="CB90">
        <f>Foglio1!$N10</f>
        <v>7.2461434141379885E-2</v>
      </c>
      <c r="CC90">
        <f>Foglio1!$N10</f>
        <v>7.2461434141379885E-2</v>
      </c>
      <c r="CD90">
        <f>Foglio1!$N10</f>
        <v>7.2461434141379885E-2</v>
      </c>
      <c r="CE90">
        <f>Foglio1!$N10</f>
        <v>7.2461434141379885E-2</v>
      </c>
      <c r="CF90">
        <f>Foglio1!$N10</f>
        <v>7.2461434141379885E-2</v>
      </c>
    </row>
    <row r="91" spans="34:84" x14ac:dyDescent="0.25">
      <c r="AH91" t="s">
        <v>57</v>
      </c>
      <c r="AI91">
        <f>Foglio1!$N11</f>
        <v>0.16500254280386506</v>
      </c>
      <c r="AJ91">
        <f>Foglio1!$N11</f>
        <v>0.16500254280386506</v>
      </c>
      <c r="AK91">
        <f>Foglio1!$N11</f>
        <v>0.16500254280386506</v>
      </c>
      <c r="AL91">
        <f>Foglio1!$N11</f>
        <v>0.16500254280386506</v>
      </c>
      <c r="AM91">
        <f>Foglio1!$N11</f>
        <v>0.16500254280386506</v>
      </c>
      <c r="AN91">
        <f>Foglio1!$N11</f>
        <v>0.16500254280386506</v>
      </c>
      <c r="AO91">
        <f>Foglio1!$N11</f>
        <v>0.16500254280386506</v>
      </c>
      <c r="AP91">
        <f>Foglio1!$N11</f>
        <v>0.16500254280386506</v>
      </c>
      <c r="AQ91">
        <f>Foglio1!$N11</f>
        <v>0.16500254280386506</v>
      </c>
      <c r="AR91">
        <f>Foglio1!$N11</f>
        <v>0.16500254280386506</v>
      </c>
      <c r="AS91">
        <f>Foglio1!$N11</f>
        <v>0.16500254280386506</v>
      </c>
      <c r="AT91">
        <f>Foglio1!$N11</f>
        <v>0.16500254280386506</v>
      </c>
      <c r="AU91">
        <f>Foglio1!$N11</f>
        <v>0.16500254280386506</v>
      </c>
      <c r="AV91">
        <f>Foglio1!$N11</f>
        <v>0.16500254280386506</v>
      </c>
      <c r="AW91">
        <f>Foglio1!$N11</f>
        <v>0.16500254280386506</v>
      </c>
      <c r="AX91">
        <f>Foglio1!$N11</f>
        <v>0.16500254280386506</v>
      </c>
      <c r="AY91">
        <f>Foglio1!$N11</f>
        <v>0.16500254280386506</v>
      </c>
      <c r="AZ91">
        <f>Foglio1!$N11</f>
        <v>0.16500254280386506</v>
      </c>
      <c r="BA91">
        <f>Foglio1!$N11</f>
        <v>0.16500254280386506</v>
      </c>
      <c r="BB91">
        <f>Foglio1!$N11</f>
        <v>0.16500254280386506</v>
      </c>
      <c r="BC91">
        <f>Foglio1!$N11</f>
        <v>0.16500254280386506</v>
      </c>
      <c r="BD91">
        <f>Foglio1!$N11</f>
        <v>0.16500254280386506</v>
      </c>
      <c r="BE91">
        <f>Foglio1!$N11</f>
        <v>0.16500254280386506</v>
      </c>
      <c r="BF91">
        <f>Foglio1!$N11</f>
        <v>0.16500254280386506</v>
      </c>
      <c r="BG91">
        <f>Foglio1!$N11</f>
        <v>0.16500254280386506</v>
      </c>
      <c r="BH91">
        <f>Foglio1!$N11</f>
        <v>0.16500254280386506</v>
      </c>
      <c r="BI91">
        <f>Foglio1!$N11</f>
        <v>0.16500254280386506</v>
      </c>
      <c r="BJ91">
        <f>Foglio1!$N11</f>
        <v>0.16500254280386506</v>
      </c>
      <c r="BK91">
        <f>Foglio1!$N11</f>
        <v>0.16500254280386506</v>
      </c>
      <c r="BL91">
        <f>Foglio1!$N11</f>
        <v>0.16500254280386506</v>
      </c>
      <c r="BM91">
        <f>Foglio1!$N11</f>
        <v>0.16500254280386506</v>
      </c>
      <c r="BN91">
        <f>Foglio1!$N11</f>
        <v>0.16500254280386506</v>
      </c>
      <c r="BO91">
        <f>Foglio1!$N11</f>
        <v>0.16500254280386506</v>
      </c>
      <c r="BP91">
        <f>Foglio1!$N11</f>
        <v>0.16500254280386506</v>
      </c>
      <c r="BQ91">
        <f>Foglio1!$N11</f>
        <v>0.16500254280386506</v>
      </c>
      <c r="BR91">
        <f>Foglio1!$N11</f>
        <v>0.16500254280386506</v>
      </c>
      <c r="BS91">
        <f>Foglio1!$N11</f>
        <v>0.16500254280386506</v>
      </c>
      <c r="BT91">
        <f>Foglio1!$N11</f>
        <v>0.16500254280386506</v>
      </c>
      <c r="BU91">
        <f>Foglio1!$N11</f>
        <v>0.16500254280386506</v>
      </c>
      <c r="BV91">
        <f>Foglio1!$N11</f>
        <v>0.16500254280386506</v>
      </c>
      <c r="BW91">
        <f>Foglio1!$N11</f>
        <v>0.16500254280386506</v>
      </c>
      <c r="BX91">
        <f>Foglio1!$N11</f>
        <v>0.16500254280386506</v>
      </c>
      <c r="BY91">
        <f>Foglio1!$N11</f>
        <v>0.16500254280386506</v>
      </c>
      <c r="BZ91">
        <f>Foglio1!$N11</f>
        <v>0.16500254280386506</v>
      </c>
      <c r="CA91">
        <f>Foglio1!$N11</f>
        <v>0.16500254280386506</v>
      </c>
      <c r="CB91">
        <f>Foglio1!$N11</f>
        <v>0.16500254280386506</v>
      </c>
      <c r="CC91">
        <f>Foglio1!$N11</f>
        <v>0.16500254280386506</v>
      </c>
      <c r="CD91">
        <f>Foglio1!$N11</f>
        <v>0.16500254280386506</v>
      </c>
      <c r="CE91">
        <f>Foglio1!$N11</f>
        <v>0.16500254280386506</v>
      </c>
      <c r="CF91">
        <f>Foglio1!$N11</f>
        <v>0.16500254280386506</v>
      </c>
    </row>
    <row r="92" spans="34:84" x14ac:dyDescent="0.25">
      <c r="AH92" t="s">
        <v>58</v>
      </c>
      <c r="AI92">
        <f>Foglio1!$N12</f>
        <v>0.27500423800644175</v>
      </c>
      <c r="AJ92">
        <f>Foglio1!$N12</f>
        <v>0.27500423800644175</v>
      </c>
      <c r="AK92">
        <f>Foglio1!$N12</f>
        <v>0.27500423800644175</v>
      </c>
      <c r="AL92">
        <f>Foglio1!$N12</f>
        <v>0.27500423800644175</v>
      </c>
      <c r="AM92">
        <f>Foglio1!$N12</f>
        <v>0.27500423800644175</v>
      </c>
      <c r="AN92">
        <f>Foglio1!$N12</f>
        <v>0.27500423800644175</v>
      </c>
      <c r="AO92">
        <f>Foglio1!$N12</f>
        <v>0.27500423800644175</v>
      </c>
      <c r="AP92">
        <f>Foglio1!$N12</f>
        <v>0.27500423800644175</v>
      </c>
      <c r="AQ92">
        <f>Foglio1!$N12</f>
        <v>0.27500423800644175</v>
      </c>
      <c r="AR92">
        <f>Foglio1!$N12</f>
        <v>0.27500423800644175</v>
      </c>
      <c r="AS92">
        <f>Foglio1!$N12</f>
        <v>0.27500423800644175</v>
      </c>
      <c r="AT92">
        <f>Foglio1!$N12</f>
        <v>0.27500423800644175</v>
      </c>
      <c r="AU92">
        <f>Foglio1!$N12</f>
        <v>0.27500423800644175</v>
      </c>
      <c r="AV92">
        <f>Foglio1!$N12</f>
        <v>0.27500423800644175</v>
      </c>
      <c r="AW92">
        <f>Foglio1!$N12</f>
        <v>0.27500423800644175</v>
      </c>
      <c r="AX92">
        <f>Foglio1!$N12</f>
        <v>0.27500423800644175</v>
      </c>
      <c r="AY92">
        <f>Foglio1!$N12</f>
        <v>0.27500423800644175</v>
      </c>
      <c r="AZ92">
        <f>Foglio1!$N12</f>
        <v>0.27500423800644175</v>
      </c>
      <c r="BA92">
        <f>Foglio1!$N12</f>
        <v>0.27500423800644175</v>
      </c>
      <c r="BB92">
        <f>Foglio1!$N12</f>
        <v>0.27500423800644175</v>
      </c>
      <c r="BC92">
        <f>Foglio1!$N12</f>
        <v>0.27500423800644175</v>
      </c>
      <c r="BD92">
        <f>Foglio1!$N12</f>
        <v>0.27500423800644175</v>
      </c>
      <c r="BE92">
        <f>Foglio1!$N12</f>
        <v>0.27500423800644175</v>
      </c>
      <c r="BF92">
        <f>Foglio1!$N12</f>
        <v>0.27500423800644175</v>
      </c>
      <c r="BG92">
        <f>Foglio1!$N12</f>
        <v>0.27500423800644175</v>
      </c>
      <c r="BH92">
        <f>Foglio1!$N12</f>
        <v>0.27500423800644175</v>
      </c>
      <c r="BI92">
        <f>Foglio1!$N12</f>
        <v>0.27500423800644175</v>
      </c>
      <c r="BJ92">
        <f>Foglio1!$N12</f>
        <v>0.27500423800644175</v>
      </c>
      <c r="BK92">
        <f>Foglio1!$N12</f>
        <v>0.27500423800644175</v>
      </c>
      <c r="BL92">
        <f>Foglio1!$N12</f>
        <v>0.27500423800644175</v>
      </c>
      <c r="BM92">
        <f>Foglio1!$N12</f>
        <v>0.27500423800644175</v>
      </c>
      <c r="BN92">
        <f>Foglio1!$N12</f>
        <v>0.27500423800644175</v>
      </c>
      <c r="BO92">
        <f>Foglio1!$N12</f>
        <v>0.27500423800644175</v>
      </c>
      <c r="BP92">
        <f>Foglio1!$N12</f>
        <v>0.27500423800644175</v>
      </c>
      <c r="BQ92">
        <f>Foglio1!$N12</f>
        <v>0.27500423800644175</v>
      </c>
      <c r="BR92">
        <f>Foglio1!$N12</f>
        <v>0.27500423800644175</v>
      </c>
      <c r="BS92">
        <f>Foglio1!$N12</f>
        <v>0.27500423800644175</v>
      </c>
      <c r="BT92">
        <f>Foglio1!$N12</f>
        <v>0.27500423800644175</v>
      </c>
      <c r="BU92">
        <f>Foglio1!$N12</f>
        <v>0.27500423800644175</v>
      </c>
      <c r="BV92">
        <f>Foglio1!$N12</f>
        <v>0.27500423800644175</v>
      </c>
      <c r="BW92">
        <f>Foglio1!$N12</f>
        <v>0.27500423800644175</v>
      </c>
      <c r="BX92">
        <f>Foglio1!$N12</f>
        <v>0.27500423800644175</v>
      </c>
      <c r="BY92">
        <f>Foglio1!$N12</f>
        <v>0.27500423800644175</v>
      </c>
      <c r="BZ92">
        <f>Foglio1!$N12</f>
        <v>0.27500423800644175</v>
      </c>
      <c r="CA92">
        <f>Foglio1!$N12</f>
        <v>0.27500423800644175</v>
      </c>
      <c r="CB92">
        <f>Foglio1!$N12</f>
        <v>0.27500423800644175</v>
      </c>
      <c r="CC92">
        <f>Foglio1!$N12</f>
        <v>0.27500423800644175</v>
      </c>
      <c r="CD92">
        <f>Foglio1!$N12</f>
        <v>0.27500423800644175</v>
      </c>
      <c r="CE92">
        <f>Foglio1!$N12</f>
        <v>0.27500423800644175</v>
      </c>
      <c r="CF92">
        <f>Foglio1!$N12</f>
        <v>0.27500423800644175</v>
      </c>
    </row>
    <row r="93" spans="34:84" x14ac:dyDescent="0.25">
      <c r="AH93" t="s">
        <v>59</v>
      </c>
      <c r="AI93">
        <f>Foglio1!$N13</f>
        <v>0.17728428547211394</v>
      </c>
      <c r="AJ93">
        <f>Foglio1!$N13</f>
        <v>0.17728428547211394</v>
      </c>
      <c r="AK93">
        <f>Foglio1!$N13</f>
        <v>0.17728428547211394</v>
      </c>
      <c r="AL93">
        <f>Foglio1!$N13</f>
        <v>0.17728428547211394</v>
      </c>
      <c r="AM93">
        <f>Foglio1!$N13</f>
        <v>0.17728428547211394</v>
      </c>
      <c r="AN93">
        <f>Foglio1!$N13</f>
        <v>0.17728428547211394</v>
      </c>
      <c r="AO93">
        <f>Foglio1!$N13</f>
        <v>0.17728428547211394</v>
      </c>
      <c r="AP93">
        <f>Foglio1!$N13</f>
        <v>0.17728428547211394</v>
      </c>
      <c r="AQ93">
        <f>Foglio1!$N13</f>
        <v>0.17728428547211394</v>
      </c>
      <c r="AR93">
        <f>Foglio1!$N13</f>
        <v>0.17728428547211394</v>
      </c>
      <c r="AS93">
        <f>Foglio1!$N13</f>
        <v>0.17728428547211394</v>
      </c>
      <c r="AT93">
        <f>Foglio1!$N13</f>
        <v>0.17728428547211394</v>
      </c>
      <c r="AU93">
        <f>Foglio1!$N13</f>
        <v>0.17728428547211394</v>
      </c>
      <c r="AV93">
        <f>Foglio1!$N13</f>
        <v>0.17728428547211394</v>
      </c>
      <c r="AW93">
        <f>Foglio1!$N13</f>
        <v>0.17728428547211394</v>
      </c>
      <c r="AX93">
        <f>Foglio1!$N13</f>
        <v>0.17728428547211394</v>
      </c>
      <c r="AY93">
        <f>Foglio1!$N13</f>
        <v>0.17728428547211394</v>
      </c>
      <c r="AZ93">
        <f>Foglio1!$N13</f>
        <v>0.17728428547211394</v>
      </c>
      <c r="BA93">
        <f>Foglio1!$N13</f>
        <v>0.17728428547211394</v>
      </c>
      <c r="BB93">
        <f>Foglio1!$N13</f>
        <v>0.17728428547211394</v>
      </c>
      <c r="BC93">
        <f>Foglio1!$N13</f>
        <v>0.17728428547211394</v>
      </c>
      <c r="BD93">
        <f>Foglio1!$N13</f>
        <v>0.17728428547211394</v>
      </c>
      <c r="BE93">
        <f>Foglio1!$N13</f>
        <v>0.17728428547211394</v>
      </c>
      <c r="BF93">
        <f>Foglio1!$N13</f>
        <v>0.17728428547211394</v>
      </c>
      <c r="BG93">
        <f>Foglio1!$N13</f>
        <v>0.17728428547211394</v>
      </c>
      <c r="BH93">
        <f>Foglio1!$N13</f>
        <v>0.17728428547211394</v>
      </c>
      <c r="BI93">
        <f>Foglio1!$N13</f>
        <v>0.17728428547211394</v>
      </c>
      <c r="BJ93">
        <f>Foglio1!$N13</f>
        <v>0.17728428547211394</v>
      </c>
      <c r="BK93">
        <f>Foglio1!$N13</f>
        <v>0.17728428547211394</v>
      </c>
      <c r="BL93">
        <f>Foglio1!$N13</f>
        <v>0.17728428547211394</v>
      </c>
      <c r="BM93">
        <f>Foglio1!$N13</f>
        <v>0.17728428547211394</v>
      </c>
      <c r="BN93">
        <f>Foglio1!$N13</f>
        <v>0.17728428547211394</v>
      </c>
      <c r="BO93">
        <f>Foglio1!$N13</f>
        <v>0.17728428547211394</v>
      </c>
      <c r="BP93">
        <f>Foglio1!$N13</f>
        <v>0.17728428547211394</v>
      </c>
      <c r="BQ93">
        <f>Foglio1!$N13</f>
        <v>0.17728428547211394</v>
      </c>
      <c r="BR93">
        <f>Foglio1!$N13</f>
        <v>0.17728428547211394</v>
      </c>
      <c r="BS93">
        <f>Foglio1!$N13</f>
        <v>0.17728428547211394</v>
      </c>
      <c r="BT93">
        <f>Foglio1!$N13</f>
        <v>0.17728428547211394</v>
      </c>
      <c r="BU93">
        <f>Foglio1!$N13</f>
        <v>0.17728428547211394</v>
      </c>
      <c r="BV93">
        <f>Foglio1!$N13</f>
        <v>0.17728428547211394</v>
      </c>
      <c r="BW93">
        <f>Foglio1!$N13</f>
        <v>0.17728428547211394</v>
      </c>
      <c r="BX93">
        <f>Foglio1!$N13</f>
        <v>0.17728428547211394</v>
      </c>
      <c r="BY93">
        <f>Foglio1!$N13</f>
        <v>0.17728428547211394</v>
      </c>
      <c r="BZ93">
        <f>Foglio1!$N13</f>
        <v>0.17728428547211394</v>
      </c>
      <c r="CA93">
        <f>Foglio1!$N13</f>
        <v>0.17728428547211394</v>
      </c>
      <c r="CB93">
        <f>Foglio1!$N13</f>
        <v>0.17728428547211394</v>
      </c>
      <c r="CC93">
        <f>Foglio1!$N13</f>
        <v>0.17728428547211394</v>
      </c>
      <c r="CD93">
        <f>Foglio1!$N13</f>
        <v>0.17728428547211394</v>
      </c>
      <c r="CE93">
        <f>Foglio1!$N13</f>
        <v>0.17728428547211394</v>
      </c>
      <c r="CF93">
        <f>Foglio1!$N13</f>
        <v>0.17728428547211394</v>
      </c>
    </row>
    <row r="94" spans="34:84" x14ac:dyDescent="0.25">
      <c r="AH94" t="s">
        <v>60</v>
      </c>
      <c r="AI94">
        <f>Foglio1!$N14</f>
        <v>0.3102474995761994</v>
      </c>
      <c r="AJ94">
        <f>Foglio1!$N14</f>
        <v>0.3102474995761994</v>
      </c>
      <c r="AK94">
        <f>Foglio1!$N14</f>
        <v>0.3102474995761994</v>
      </c>
      <c r="AL94">
        <f>Foglio1!$N14</f>
        <v>0.3102474995761994</v>
      </c>
      <c r="AM94">
        <f>Foglio1!$N14</f>
        <v>0.3102474995761994</v>
      </c>
      <c r="AN94">
        <f>Foglio1!$N14</f>
        <v>0.3102474995761994</v>
      </c>
      <c r="AO94">
        <f>Foglio1!$N14</f>
        <v>0.3102474995761994</v>
      </c>
      <c r="AP94">
        <f>Foglio1!$N14</f>
        <v>0.3102474995761994</v>
      </c>
      <c r="AQ94">
        <f>Foglio1!$N14</f>
        <v>0.3102474995761994</v>
      </c>
      <c r="AR94">
        <f>Foglio1!$N14</f>
        <v>0.3102474995761994</v>
      </c>
      <c r="AS94">
        <f>Foglio1!$N14</f>
        <v>0.3102474995761994</v>
      </c>
      <c r="AT94">
        <f>Foglio1!$N14</f>
        <v>0.3102474995761994</v>
      </c>
      <c r="AU94">
        <f>Foglio1!$N14</f>
        <v>0.3102474995761994</v>
      </c>
      <c r="AV94">
        <f>Foglio1!$N14</f>
        <v>0.3102474995761994</v>
      </c>
      <c r="AW94">
        <f>Foglio1!$N14</f>
        <v>0.3102474995761994</v>
      </c>
      <c r="AX94">
        <f>Foglio1!$N14</f>
        <v>0.3102474995761994</v>
      </c>
      <c r="AY94">
        <f>Foglio1!$N14</f>
        <v>0.3102474995761994</v>
      </c>
      <c r="AZ94">
        <f>Foglio1!$N14</f>
        <v>0.3102474995761994</v>
      </c>
      <c r="BA94">
        <f>Foglio1!$N14</f>
        <v>0.3102474995761994</v>
      </c>
      <c r="BB94">
        <f>Foglio1!$N14</f>
        <v>0.3102474995761994</v>
      </c>
      <c r="BC94">
        <f>Foglio1!$N14</f>
        <v>0.3102474995761994</v>
      </c>
      <c r="BD94">
        <f>Foglio1!$N14</f>
        <v>0.3102474995761994</v>
      </c>
      <c r="BE94">
        <f>Foglio1!$N14</f>
        <v>0.3102474995761994</v>
      </c>
      <c r="BF94">
        <f>Foglio1!$N14</f>
        <v>0.3102474995761994</v>
      </c>
      <c r="BG94">
        <f>Foglio1!$N14</f>
        <v>0.3102474995761994</v>
      </c>
      <c r="BH94">
        <f>Foglio1!$N14</f>
        <v>0.3102474995761994</v>
      </c>
      <c r="BI94">
        <f>Foglio1!$N14</f>
        <v>0.3102474995761994</v>
      </c>
      <c r="BJ94">
        <f>Foglio1!$N14</f>
        <v>0.3102474995761994</v>
      </c>
      <c r="BK94">
        <f>Foglio1!$N14</f>
        <v>0.3102474995761994</v>
      </c>
      <c r="BL94">
        <f>Foglio1!$N14</f>
        <v>0.3102474995761994</v>
      </c>
      <c r="BM94">
        <f>Foglio1!$N14</f>
        <v>0.3102474995761994</v>
      </c>
      <c r="BN94">
        <f>Foglio1!$N14</f>
        <v>0.3102474995761994</v>
      </c>
      <c r="BO94">
        <f>Foglio1!$N14</f>
        <v>0.3102474995761994</v>
      </c>
      <c r="BP94">
        <f>Foglio1!$N14</f>
        <v>0.3102474995761994</v>
      </c>
      <c r="BQ94">
        <f>Foglio1!$N14</f>
        <v>0.3102474995761994</v>
      </c>
      <c r="BR94">
        <f>Foglio1!$N14</f>
        <v>0.3102474995761994</v>
      </c>
      <c r="BS94">
        <f>Foglio1!$N14</f>
        <v>0.3102474995761994</v>
      </c>
      <c r="BT94">
        <f>Foglio1!$N14</f>
        <v>0.3102474995761994</v>
      </c>
      <c r="BU94">
        <f>Foglio1!$N14</f>
        <v>0.3102474995761994</v>
      </c>
      <c r="BV94">
        <f>Foglio1!$N14</f>
        <v>0.3102474995761994</v>
      </c>
      <c r="BW94">
        <f>Foglio1!$N14</f>
        <v>0.3102474995761994</v>
      </c>
      <c r="BX94">
        <f>Foglio1!$N14</f>
        <v>0.3102474995761994</v>
      </c>
      <c r="BY94">
        <f>Foglio1!$N14</f>
        <v>0.3102474995761994</v>
      </c>
      <c r="BZ94">
        <f>Foglio1!$N14</f>
        <v>0.3102474995761994</v>
      </c>
      <c r="CA94">
        <f>Foglio1!$N14</f>
        <v>0.3102474995761994</v>
      </c>
      <c r="CB94">
        <f>Foglio1!$N14</f>
        <v>0.3102474995761994</v>
      </c>
      <c r="CC94">
        <f>Foglio1!$N14</f>
        <v>0.3102474995761994</v>
      </c>
      <c r="CD94">
        <f>Foglio1!$N14</f>
        <v>0.3102474995761994</v>
      </c>
      <c r="CE94">
        <f>Foglio1!$N14</f>
        <v>0.3102474995761994</v>
      </c>
      <c r="CF94">
        <f>Foglio1!$N14</f>
        <v>0.3102474995761994</v>
      </c>
    </row>
    <row r="95" spans="34:84" x14ac:dyDescent="0.25">
      <c r="AH95" t="s">
        <v>61</v>
      </c>
      <c r="AI95">
        <f>Foglio1!$N15</f>
        <v>0</v>
      </c>
      <c r="AJ95">
        <f>Foglio1!$N15</f>
        <v>0</v>
      </c>
      <c r="AK95">
        <f>Foglio1!$N15</f>
        <v>0</v>
      </c>
      <c r="AL95">
        <f>Foglio1!$N15</f>
        <v>0</v>
      </c>
      <c r="AM95">
        <f>Foglio1!$N15</f>
        <v>0</v>
      </c>
      <c r="AN95">
        <f>Foglio1!$N15</f>
        <v>0</v>
      </c>
      <c r="AO95">
        <f>Foglio1!$N15</f>
        <v>0</v>
      </c>
      <c r="AP95">
        <f>Foglio1!$N15</f>
        <v>0</v>
      </c>
      <c r="AQ95">
        <f>Foglio1!$N15</f>
        <v>0</v>
      </c>
      <c r="AR95">
        <f>Foglio1!$N15</f>
        <v>0</v>
      </c>
      <c r="AS95">
        <f>Foglio1!$N15</f>
        <v>0</v>
      </c>
      <c r="AT95">
        <f>Foglio1!$N15</f>
        <v>0</v>
      </c>
      <c r="AU95">
        <f>Foglio1!$N15</f>
        <v>0</v>
      </c>
      <c r="AV95">
        <f>Foglio1!$N15</f>
        <v>0</v>
      </c>
      <c r="AW95">
        <f>Foglio1!$N15</f>
        <v>0</v>
      </c>
      <c r="AX95">
        <f>Foglio1!$N15</f>
        <v>0</v>
      </c>
      <c r="AY95">
        <f>Foglio1!$N15</f>
        <v>0</v>
      </c>
      <c r="AZ95">
        <f>Foglio1!$N15</f>
        <v>0</v>
      </c>
      <c r="BA95">
        <f>Foglio1!$N15</f>
        <v>0</v>
      </c>
      <c r="BB95">
        <f>Foglio1!$N15</f>
        <v>0</v>
      </c>
      <c r="BC95">
        <f>Foglio1!$N15</f>
        <v>0</v>
      </c>
      <c r="BD95">
        <f>Foglio1!$N15</f>
        <v>0</v>
      </c>
      <c r="BE95">
        <f>Foglio1!$N15</f>
        <v>0</v>
      </c>
      <c r="BF95">
        <f>Foglio1!$N15</f>
        <v>0</v>
      </c>
      <c r="BG95">
        <f>Foglio1!$N15</f>
        <v>0</v>
      </c>
      <c r="BH95">
        <f>Foglio1!$N15</f>
        <v>0</v>
      </c>
      <c r="BI95">
        <f>Foglio1!$N15</f>
        <v>0</v>
      </c>
      <c r="BJ95">
        <f>Foglio1!$N15</f>
        <v>0</v>
      </c>
      <c r="BK95">
        <f>Foglio1!$N15</f>
        <v>0</v>
      </c>
      <c r="BL95">
        <f>Foglio1!$N15</f>
        <v>0</v>
      </c>
      <c r="BM95">
        <f>Foglio1!$N15</f>
        <v>0</v>
      </c>
      <c r="BN95">
        <f>Foglio1!$N15</f>
        <v>0</v>
      </c>
      <c r="BO95">
        <f>Foglio1!$N15</f>
        <v>0</v>
      </c>
      <c r="BP95">
        <f>Foglio1!$N15</f>
        <v>0</v>
      </c>
      <c r="BQ95">
        <f>Foglio1!$N15</f>
        <v>0</v>
      </c>
      <c r="BR95">
        <f>Foglio1!$N15</f>
        <v>0</v>
      </c>
      <c r="BS95">
        <f>Foglio1!$N15</f>
        <v>0</v>
      </c>
      <c r="BT95">
        <f>Foglio1!$N15</f>
        <v>0</v>
      </c>
      <c r="BU95">
        <f>Foglio1!$N15</f>
        <v>0</v>
      </c>
      <c r="BV95">
        <f>Foglio1!$N15</f>
        <v>0</v>
      </c>
      <c r="BW95">
        <f>Foglio1!$N15</f>
        <v>0</v>
      </c>
      <c r="BX95">
        <f>Foglio1!$N15</f>
        <v>0</v>
      </c>
      <c r="BY95">
        <f>Foglio1!$N15</f>
        <v>0</v>
      </c>
      <c r="BZ95">
        <f>Foglio1!$N15</f>
        <v>0</v>
      </c>
      <c r="CA95">
        <f>Foglio1!$N15</f>
        <v>0</v>
      </c>
      <c r="CB95">
        <f>Foglio1!$N15</f>
        <v>0</v>
      </c>
      <c r="CC95">
        <f>Foglio1!$N15</f>
        <v>0</v>
      </c>
      <c r="CD95">
        <f>Foglio1!$N15</f>
        <v>0</v>
      </c>
      <c r="CE95">
        <f>Foglio1!$N15</f>
        <v>0</v>
      </c>
      <c r="CF95">
        <f>Foglio1!$N15</f>
        <v>0</v>
      </c>
    </row>
    <row r="96" spans="34:84" x14ac:dyDescent="0.25">
      <c r="AH96" t="s">
        <v>62</v>
      </c>
      <c r="AI96">
        <f>Foglio1!$N16</f>
        <v>0</v>
      </c>
      <c r="AJ96">
        <f>Foglio1!$N16</f>
        <v>0</v>
      </c>
      <c r="AK96">
        <f>Foglio1!$N16</f>
        <v>0</v>
      </c>
      <c r="AL96">
        <f>Foglio1!$N16</f>
        <v>0</v>
      </c>
      <c r="AM96">
        <f>Foglio1!$N16</f>
        <v>0</v>
      </c>
      <c r="AN96">
        <f>Foglio1!$N16</f>
        <v>0</v>
      </c>
      <c r="AO96">
        <f>Foglio1!$N16</f>
        <v>0</v>
      </c>
      <c r="AP96">
        <f>Foglio1!$N16</f>
        <v>0</v>
      </c>
      <c r="AQ96">
        <f>Foglio1!$N16</f>
        <v>0</v>
      </c>
      <c r="AR96">
        <f>Foglio1!$N16</f>
        <v>0</v>
      </c>
      <c r="AS96">
        <f>Foglio1!$N16</f>
        <v>0</v>
      </c>
      <c r="AT96">
        <f>Foglio1!$N16</f>
        <v>0</v>
      </c>
      <c r="AU96">
        <f>Foglio1!$N16</f>
        <v>0</v>
      </c>
      <c r="AV96">
        <f>Foglio1!$N16</f>
        <v>0</v>
      </c>
      <c r="AW96">
        <f>Foglio1!$N16</f>
        <v>0</v>
      </c>
      <c r="AX96">
        <f>Foglio1!$N16</f>
        <v>0</v>
      </c>
      <c r="AY96">
        <f>Foglio1!$N16</f>
        <v>0</v>
      </c>
      <c r="AZ96">
        <f>Foglio1!$N16</f>
        <v>0</v>
      </c>
      <c r="BA96">
        <f>Foglio1!$N16</f>
        <v>0</v>
      </c>
      <c r="BB96">
        <f>Foglio1!$N16</f>
        <v>0</v>
      </c>
      <c r="BC96">
        <f>Foglio1!$N16</f>
        <v>0</v>
      </c>
      <c r="BD96">
        <f>Foglio1!$N16</f>
        <v>0</v>
      </c>
      <c r="BE96">
        <f>Foglio1!$N16</f>
        <v>0</v>
      </c>
      <c r="BF96">
        <f>Foglio1!$N16</f>
        <v>0</v>
      </c>
      <c r="BG96">
        <f>Foglio1!$N16</f>
        <v>0</v>
      </c>
      <c r="BH96">
        <f>Foglio1!$N16</f>
        <v>0</v>
      </c>
      <c r="BI96">
        <f>Foglio1!$N16</f>
        <v>0</v>
      </c>
      <c r="BJ96">
        <f>Foglio1!$N16</f>
        <v>0</v>
      </c>
      <c r="BK96">
        <f>Foglio1!$N16</f>
        <v>0</v>
      </c>
      <c r="BL96">
        <f>Foglio1!$N16</f>
        <v>0</v>
      </c>
      <c r="BM96">
        <f>Foglio1!$N16</f>
        <v>0</v>
      </c>
      <c r="BN96">
        <f>Foglio1!$N16</f>
        <v>0</v>
      </c>
      <c r="BO96">
        <f>Foglio1!$N16</f>
        <v>0</v>
      </c>
      <c r="BP96">
        <f>Foglio1!$N16</f>
        <v>0</v>
      </c>
      <c r="BQ96">
        <f>Foglio1!$N16</f>
        <v>0</v>
      </c>
      <c r="BR96">
        <f>Foglio1!$N16</f>
        <v>0</v>
      </c>
      <c r="BS96">
        <f>Foglio1!$N16</f>
        <v>0</v>
      </c>
      <c r="BT96">
        <f>Foglio1!$N16</f>
        <v>0</v>
      </c>
      <c r="BU96">
        <f>Foglio1!$N16</f>
        <v>0</v>
      </c>
      <c r="BV96">
        <f>Foglio1!$N16</f>
        <v>0</v>
      </c>
      <c r="BW96">
        <f>Foglio1!$N16</f>
        <v>0</v>
      </c>
      <c r="BX96">
        <f>Foglio1!$N16</f>
        <v>0</v>
      </c>
      <c r="BY96">
        <f>Foglio1!$N16</f>
        <v>0</v>
      </c>
      <c r="BZ96">
        <f>Foglio1!$N16</f>
        <v>0</v>
      </c>
      <c r="CA96">
        <f>Foglio1!$N16</f>
        <v>0</v>
      </c>
      <c r="CB96">
        <f>Foglio1!$N16</f>
        <v>0</v>
      </c>
      <c r="CC96">
        <f>Foglio1!$N16</f>
        <v>0</v>
      </c>
      <c r="CD96">
        <f>Foglio1!$N16</f>
        <v>0</v>
      </c>
      <c r="CE96">
        <f>Foglio1!$N16</f>
        <v>0</v>
      </c>
      <c r="CF96">
        <f>Foglio1!$N16</f>
        <v>0</v>
      </c>
    </row>
    <row r="97" spans="34:84" x14ac:dyDescent="0.25">
      <c r="AH97" t="s">
        <v>63</v>
      </c>
      <c r="AI97">
        <f>Foglio1!$N17</f>
        <v>0</v>
      </c>
      <c r="AJ97">
        <f>Foglio1!$N17</f>
        <v>0</v>
      </c>
      <c r="AK97">
        <f>Foglio1!$N17</f>
        <v>0</v>
      </c>
      <c r="AL97">
        <f>Foglio1!$N17</f>
        <v>0</v>
      </c>
      <c r="AM97">
        <f>Foglio1!$N17</f>
        <v>0</v>
      </c>
      <c r="AN97">
        <f>Foglio1!$N17</f>
        <v>0</v>
      </c>
      <c r="AO97">
        <f>Foglio1!$N17</f>
        <v>0</v>
      </c>
      <c r="AP97">
        <f>Foglio1!$N17</f>
        <v>0</v>
      </c>
      <c r="AQ97">
        <f>Foglio1!$N17</f>
        <v>0</v>
      </c>
      <c r="AR97">
        <f>Foglio1!$N17</f>
        <v>0</v>
      </c>
      <c r="AS97">
        <f>Foglio1!$N17</f>
        <v>0</v>
      </c>
      <c r="AT97">
        <f>Foglio1!$N17</f>
        <v>0</v>
      </c>
      <c r="AU97">
        <f>Foglio1!$N17</f>
        <v>0</v>
      </c>
      <c r="AV97">
        <f>Foglio1!$N17</f>
        <v>0</v>
      </c>
      <c r="AW97">
        <f>Foglio1!$N17</f>
        <v>0</v>
      </c>
      <c r="AX97">
        <f>Foglio1!$N17</f>
        <v>0</v>
      </c>
      <c r="AY97">
        <f>Foglio1!$N17</f>
        <v>0</v>
      </c>
      <c r="AZ97">
        <f>Foglio1!$N17</f>
        <v>0</v>
      </c>
      <c r="BA97">
        <f>Foglio1!$N17</f>
        <v>0</v>
      </c>
      <c r="BB97">
        <f>Foglio1!$N17</f>
        <v>0</v>
      </c>
      <c r="BC97">
        <f>Foglio1!$N17</f>
        <v>0</v>
      </c>
      <c r="BD97">
        <f>Foglio1!$N17</f>
        <v>0</v>
      </c>
      <c r="BE97">
        <f>Foglio1!$N17</f>
        <v>0</v>
      </c>
      <c r="BF97">
        <f>Foglio1!$N17</f>
        <v>0</v>
      </c>
      <c r="BG97">
        <f>Foglio1!$N17</f>
        <v>0</v>
      </c>
      <c r="BH97">
        <f>Foglio1!$N17</f>
        <v>0</v>
      </c>
      <c r="BI97">
        <f>Foglio1!$N17</f>
        <v>0</v>
      </c>
      <c r="BJ97">
        <f>Foglio1!$N17</f>
        <v>0</v>
      </c>
      <c r="BK97">
        <f>Foglio1!$N17</f>
        <v>0</v>
      </c>
      <c r="BL97">
        <f>Foglio1!$N17</f>
        <v>0</v>
      </c>
      <c r="BM97">
        <f>Foglio1!$N17</f>
        <v>0</v>
      </c>
      <c r="BN97">
        <f>Foglio1!$N17</f>
        <v>0</v>
      </c>
      <c r="BO97">
        <f>Foglio1!$N17</f>
        <v>0</v>
      </c>
      <c r="BP97">
        <f>Foglio1!$N17</f>
        <v>0</v>
      </c>
      <c r="BQ97">
        <f>Foglio1!$N17</f>
        <v>0</v>
      </c>
      <c r="BR97">
        <f>Foglio1!$N17</f>
        <v>0</v>
      </c>
      <c r="BS97">
        <f>Foglio1!$N17</f>
        <v>0</v>
      </c>
      <c r="BT97">
        <f>Foglio1!$N17</f>
        <v>0</v>
      </c>
      <c r="BU97">
        <f>Foglio1!$N17</f>
        <v>0</v>
      </c>
      <c r="BV97">
        <f>Foglio1!$N17</f>
        <v>0</v>
      </c>
      <c r="BW97">
        <f>Foglio1!$N17</f>
        <v>0</v>
      </c>
      <c r="BX97">
        <f>Foglio1!$N17</f>
        <v>0</v>
      </c>
      <c r="BY97">
        <f>Foglio1!$N17</f>
        <v>0</v>
      </c>
      <c r="BZ97">
        <f>Foglio1!$N17</f>
        <v>0</v>
      </c>
      <c r="CA97">
        <f>Foglio1!$N17</f>
        <v>0</v>
      </c>
      <c r="CB97">
        <f>Foglio1!$N17</f>
        <v>0</v>
      </c>
      <c r="CC97">
        <f>Foglio1!$N17</f>
        <v>0</v>
      </c>
      <c r="CD97">
        <f>Foglio1!$N17</f>
        <v>0</v>
      </c>
      <c r="CE97">
        <f>Foglio1!$N17</f>
        <v>0</v>
      </c>
      <c r="CF97">
        <f>Foglio1!$N17</f>
        <v>0</v>
      </c>
    </row>
    <row r="98" spans="34:84" x14ac:dyDescent="0.25">
      <c r="AH98" t="s">
        <v>64</v>
      </c>
      <c r="AI98">
        <f>Foglio1!$N18</f>
        <v>0</v>
      </c>
      <c r="AJ98">
        <f>Foglio1!$N18</f>
        <v>0</v>
      </c>
      <c r="AK98">
        <f>Foglio1!$N18</f>
        <v>0</v>
      </c>
      <c r="AL98">
        <f>Foglio1!$N18</f>
        <v>0</v>
      </c>
      <c r="AM98">
        <f>Foglio1!$N18</f>
        <v>0</v>
      </c>
      <c r="AN98">
        <f>Foglio1!$N18</f>
        <v>0</v>
      </c>
      <c r="AO98">
        <f>Foglio1!$N18</f>
        <v>0</v>
      </c>
      <c r="AP98">
        <f>Foglio1!$N18</f>
        <v>0</v>
      </c>
      <c r="AQ98">
        <f>Foglio1!$N18</f>
        <v>0</v>
      </c>
      <c r="AR98">
        <f>Foglio1!$N18</f>
        <v>0</v>
      </c>
      <c r="AS98">
        <f>Foglio1!$N18</f>
        <v>0</v>
      </c>
      <c r="AT98">
        <f>Foglio1!$N18</f>
        <v>0</v>
      </c>
      <c r="AU98">
        <f>Foglio1!$N18</f>
        <v>0</v>
      </c>
      <c r="AV98">
        <f>Foglio1!$N18</f>
        <v>0</v>
      </c>
      <c r="AW98">
        <f>Foglio1!$N18</f>
        <v>0</v>
      </c>
      <c r="AX98">
        <f>Foglio1!$N18</f>
        <v>0</v>
      </c>
      <c r="AY98">
        <f>Foglio1!$N18</f>
        <v>0</v>
      </c>
      <c r="AZ98">
        <f>Foglio1!$N18</f>
        <v>0</v>
      </c>
      <c r="BA98">
        <f>Foglio1!$N18</f>
        <v>0</v>
      </c>
      <c r="BB98">
        <f>Foglio1!$N18</f>
        <v>0</v>
      </c>
      <c r="BC98">
        <f>Foglio1!$N18</f>
        <v>0</v>
      </c>
      <c r="BD98">
        <f>Foglio1!$N18</f>
        <v>0</v>
      </c>
      <c r="BE98">
        <f>Foglio1!$N18</f>
        <v>0</v>
      </c>
      <c r="BF98">
        <f>Foglio1!$N18</f>
        <v>0</v>
      </c>
      <c r="BG98">
        <f>Foglio1!$N18</f>
        <v>0</v>
      </c>
      <c r="BH98">
        <f>Foglio1!$N18</f>
        <v>0</v>
      </c>
      <c r="BI98">
        <f>Foglio1!$N18</f>
        <v>0</v>
      </c>
      <c r="BJ98">
        <f>Foglio1!$N18</f>
        <v>0</v>
      </c>
      <c r="BK98">
        <f>Foglio1!$N18</f>
        <v>0</v>
      </c>
      <c r="BL98">
        <f>Foglio1!$N18</f>
        <v>0</v>
      </c>
      <c r="BM98">
        <f>Foglio1!$N18</f>
        <v>0</v>
      </c>
      <c r="BN98">
        <f>Foglio1!$N18</f>
        <v>0</v>
      </c>
      <c r="BO98">
        <f>Foglio1!$N18</f>
        <v>0</v>
      </c>
      <c r="BP98">
        <f>Foglio1!$N18</f>
        <v>0</v>
      </c>
      <c r="BQ98">
        <f>Foglio1!$N18</f>
        <v>0</v>
      </c>
      <c r="BR98">
        <f>Foglio1!$N18</f>
        <v>0</v>
      </c>
      <c r="BS98">
        <f>Foglio1!$N18</f>
        <v>0</v>
      </c>
      <c r="BT98">
        <f>Foglio1!$N18</f>
        <v>0</v>
      </c>
      <c r="BU98">
        <f>Foglio1!$N18</f>
        <v>0</v>
      </c>
      <c r="BV98">
        <f>Foglio1!$N18</f>
        <v>0</v>
      </c>
      <c r="BW98">
        <f>Foglio1!$N18</f>
        <v>0</v>
      </c>
      <c r="BX98">
        <f>Foglio1!$N18</f>
        <v>0</v>
      </c>
      <c r="BY98">
        <f>Foglio1!$N18</f>
        <v>0</v>
      </c>
      <c r="BZ98">
        <f>Foglio1!$N18</f>
        <v>0</v>
      </c>
      <c r="CA98">
        <f>Foglio1!$N18</f>
        <v>0</v>
      </c>
      <c r="CB98">
        <f>Foglio1!$N18</f>
        <v>0</v>
      </c>
      <c r="CC98">
        <f>Foglio1!$N18</f>
        <v>0</v>
      </c>
      <c r="CD98">
        <f>Foglio1!$N18</f>
        <v>0</v>
      </c>
      <c r="CE98">
        <f>Foglio1!$N18</f>
        <v>0</v>
      </c>
      <c r="CF98">
        <f>Foglio1!$N18</f>
        <v>0</v>
      </c>
    </row>
    <row r="99" spans="34:84" x14ac:dyDescent="0.25">
      <c r="AH99" t="s">
        <v>65</v>
      </c>
      <c r="AI99">
        <f>Foglio1!$N19</f>
        <v>0</v>
      </c>
      <c r="AJ99">
        <f>Foglio1!$N19</f>
        <v>0</v>
      </c>
      <c r="AK99">
        <f>Foglio1!$N19</f>
        <v>0</v>
      </c>
      <c r="AL99">
        <f>Foglio1!$N19</f>
        <v>0</v>
      </c>
      <c r="AM99">
        <f>Foglio1!$N19</f>
        <v>0</v>
      </c>
      <c r="AN99">
        <f>Foglio1!$N19</f>
        <v>0</v>
      </c>
      <c r="AO99">
        <f>Foglio1!$N19</f>
        <v>0</v>
      </c>
      <c r="AP99">
        <f>Foglio1!$N19</f>
        <v>0</v>
      </c>
      <c r="AQ99">
        <f>Foglio1!$N19</f>
        <v>0</v>
      </c>
      <c r="AR99">
        <f>Foglio1!$N19</f>
        <v>0</v>
      </c>
      <c r="AS99">
        <f>Foglio1!$N19</f>
        <v>0</v>
      </c>
      <c r="AT99">
        <f>Foglio1!$N19</f>
        <v>0</v>
      </c>
      <c r="AU99">
        <f>Foglio1!$N19</f>
        <v>0</v>
      </c>
      <c r="AV99">
        <f>Foglio1!$N19</f>
        <v>0</v>
      </c>
      <c r="AW99">
        <f>Foglio1!$N19</f>
        <v>0</v>
      </c>
      <c r="AX99">
        <f>Foglio1!$N19</f>
        <v>0</v>
      </c>
      <c r="AY99">
        <f>Foglio1!$N19</f>
        <v>0</v>
      </c>
      <c r="AZ99">
        <f>Foglio1!$N19</f>
        <v>0</v>
      </c>
      <c r="BA99">
        <f>Foglio1!$N19</f>
        <v>0</v>
      </c>
      <c r="BB99">
        <f>Foglio1!$N19</f>
        <v>0</v>
      </c>
      <c r="BC99">
        <f>Foglio1!$N19</f>
        <v>0</v>
      </c>
      <c r="BD99">
        <f>Foglio1!$N19</f>
        <v>0</v>
      </c>
      <c r="BE99">
        <f>Foglio1!$N19</f>
        <v>0</v>
      </c>
      <c r="BF99">
        <f>Foglio1!$N19</f>
        <v>0</v>
      </c>
      <c r="BG99">
        <f>Foglio1!$N19</f>
        <v>0</v>
      </c>
      <c r="BH99">
        <f>Foglio1!$N19</f>
        <v>0</v>
      </c>
      <c r="BI99">
        <f>Foglio1!$N19</f>
        <v>0</v>
      </c>
      <c r="BJ99">
        <f>Foglio1!$N19</f>
        <v>0</v>
      </c>
      <c r="BK99">
        <f>Foglio1!$N19</f>
        <v>0</v>
      </c>
      <c r="BL99">
        <f>Foglio1!$N19</f>
        <v>0</v>
      </c>
      <c r="BM99">
        <f>Foglio1!$N19</f>
        <v>0</v>
      </c>
      <c r="BN99">
        <f>Foglio1!$N19</f>
        <v>0</v>
      </c>
      <c r="BO99">
        <f>Foglio1!$N19</f>
        <v>0</v>
      </c>
      <c r="BP99">
        <f>Foglio1!$N19</f>
        <v>0</v>
      </c>
      <c r="BQ99">
        <f>Foglio1!$N19</f>
        <v>0</v>
      </c>
      <c r="BR99">
        <f>Foglio1!$N19</f>
        <v>0</v>
      </c>
      <c r="BS99">
        <f>Foglio1!$N19</f>
        <v>0</v>
      </c>
      <c r="BT99">
        <f>Foglio1!$N19</f>
        <v>0</v>
      </c>
      <c r="BU99">
        <f>Foglio1!$N19</f>
        <v>0</v>
      </c>
      <c r="BV99">
        <f>Foglio1!$N19</f>
        <v>0</v>
      </c>
      <c r="BW99">
        <f>Foglio1!$N19</f>
        <v>0</v>
      </c>
      <c r="BX99">
        <f>Foglio1!$N19</f>
        <v>0</v>
      </c>
      <c r="BY99">
        <f>Foglio1!$N19</f>
        <v>0</v>
      </c>
      <c r="BZ99">
        <f>Foglio1!$N19</f>
        <v>0</v>
      </c>
      <c r="CA99">
        <f>Foglio1!$N19</f>
        <v>0</v>
      </c>
      <c r="CB99">
        <f>Foglio1!$N19</f>
        <v>0</v>
      </c>
      <c r="CC99">
        <f>Foglio1!$N19</f>
        <v>0</v>
      </c>
      <c r="CD99">
        <f>Foglio1!$N19</f>
        <v>0</v>
      </c>
      <c r="CE99">
        <f>Foglio1!$N19</f>
        <v>0</v>
      </c>
      <c r="CF99">
        <f>Foglio1!$N19</f>
        <v>0</v>
      </c>
    </row>
    <row r="100" spans="34:84" x14ac:dyDescent="0.25">
      <c r="AH100" t="s">
        <v>66</v>
      </c>
      <c r="AI100">
        <f>EXP(Foglio1!$C10-Foglio1!$D10/(Foglio1!$E10+Foglio2!AI$89))*Foglio2!AI90/Foglio1!$D$5</f>
        <v>0.4551447701386227</v>
      </c>
      <c r="AJ100">
        <f>EXP(Foglio1!$C10-Foglio1!$D10/(Foglio1!$E10+Foglio2!AJ$89))*Foglio2!AJ90/Foglio1!$D$5</f>
        <v>0.1711776930508071</v>
      </c>
      <c r="AK100">
        <f>EXP(Foglio1!$C10-Foglio1!$D10/(Foglio1!$E10+Foglio2!AK$89))*Foglio2!AK90/Foglio1!$D$5</f>
        <v>0.29124730310331176</v>
      </c>
      <c r="AL100">
        <f>EXP(Foglio1!$C10-Foglio1!$D10/(Foglio1!$E10+Foglio2!AL$89))*Foglio2!AL90/Foglio1!$D$5</f>
        <v>0.22599550660628481</v>
      </c>
      <c r="AM100">
        <f>EXP(Foglio1!$C10-Foglio1!$D10/(Foglio1!$E10+Foglio2!AM$89))*Foglio2!AM90/Foglio1!$D$5</f>
        <v>0.25727925045206013</v>
      </c>
      <c r="AN100">
        <f>EXP(Foglio1!$C10-Foglio1!$D10/(Foglio1!$E10+Foglio2!AN$89))*Foglio2!AN90/Foglio1!$D$5</f>
        <v>0.24130625060386166</v>
      </c>
      <c r="AO100">
        <f>EXP(Foglio1!$C10-Foglio1!$D10/(Foglio1!$E10+Foglio2!AO$89))*Foglio2!AO90/Foglio1!$D$5</f>
        <v>0.24920939668427619</v>
      </c>
      <c r="AP100">
        <f>EXP(Foglio1!$C10-Foglio1!$D10/(Foglio1!$E10+Foglio2!AP$89))*Foglio2!AP90/Foglio1!$D$5</f>
        <v>0.24523705538289756</v>
      </c>
      <c r="AQ100">
        <f>EXP(Foglio1!$C10-Foglio1!$D10/(Foglio1!$E10+Foglio2!AQ$89))*Foglio2!AQ90/Foglio1!$D$5</f>
        <v>0.24721802511311258</v>
      </c>
      <c r="AR100">
        <f>EXP(Foglio1!$C10-Foglio1!$D10/(Foglio1!$E10+Foglio2!AR$89))*Foglio2!AR90/Foglio1!$D$5</f>
        <v>0.24821240956869661</v>
      </c>
      <c r="AS100">
        <f>EXP(Foglio1!$C10-Foglio1!$D10/(Foglio1!$E10+Foglio2!AS$89))*Foglio2!AS90/Foglio1!$D$5</f>
        <v>0.24871057765694071</v>
      </c>
      <c r="AT100">
        <f>EXP(Foglio1!$C10-Foglio1!$D10/(Foglio1!$E10+Foglio2!AT$89))*Foglio2!AT90/Foglio1!$D$5</f>
        <v>0.24895990578611865</v>
      </c>
      <c r="AU100">
        <f>EXP(Foglio1!$C10-Foglio1!$D10/(Foglio1!$E10+Foglio2!AU$89))*Foglio2!AU90/Foglio1!$D$5</f>
        <v>0.24908463088693922</v>
      </c>
      <c r="AV100">
        <f>EXP(Foglio1!$C10-Foglio1!$D10/(Foglio1!$E10+Foglio2!AV$89))*Foglio2!AV90/Foglio1!$D$5</f>
        <v>0.24914700869827613</v>
      </c>
      <c r="AW100">
        <f>EXP(Foglio1!$C10-Foglio1!$D10/(Foglio1!$E10+Foglio2!AW$89))*Foglio2!AW90/Foglio1!$D$5</f>
        <v>0.24917820141940997</v>
      </c>
      <c r="AX100">
        <f>EXP(Foglio1!$C10-Foglio1!$D10/(Foglio1!$E10+Foglio2!AX$89))*Foglio2!AX90/Foglio1!$D$5</f>
        <v>0.24916260474088106</v>
      </c>
      <c r="AY100">
        <f>EXP(Foglio1!$C10-Foglio1!$D10/(Foglio1!$E10+Foglio2!AY$89))*Foglio2!AY90/Foglio1!$D$5</f>
        <v>0.2491704030006546</v>
      </c>
      <c r="AZ100">
        <f>EXP(Foglio1!$C10-Foglio1!$D10/(Foglio1!$E10+Foglio2!AZ$89))*Foglio2!AZ90/Foglio1!$D$5</f>
        <v>0.24917430219015937</v>
      </c>
      <c r="BA100">
        <f>EXP(Foglio1!$C10-Foglio1!$D10/(Foglio1!$E10+Foglio2!BA$89))*Foglio2!BA90/Foglio1!$D$5</f>
        <v>0.24917235259043849</v>
      </c>
      <c r="BB100">
        <f>EXP(Foglio1!$C10-Foglio1!$D10/(Foglio1!$E10+Foglio2!BB$89))*Foglio2!BB90/Foglio1!$D$5</f>
        <v>0.24917137779430457</v>
      </c>
      <c r="BC100">
        <f>EXP(Foglio1!$C10-Foglio1!$D10/(Foglio1!$E10+Foglio2!BC$89))*Foglio2!BC90/Foglio1!$D$5</f>
        <v>0.24917186519206083</v>
      </c>
      <c r="BD100">
        <f>EXP(Foglio1!$C10-Foglio1!$D10/(Foglio1!$E10+Foglio2!BD$89))*Foglio2!BD90/Foglio1!$D$5</f>
        <v>0.24917162149310468</v>
      </c>
      <c r="BE100">
        <f>EXP(Foglio1!$C10-Foglio1!$D10/(Foglio1!$E10+Foglio2!BE$89))*Foglio2!BE90/Foglio1!$D$5</f>
        <v>0.24917174334256359</v>
      </c>
      <c r="BF100">
        <f>EXP(Foglio1!$C10-Foglio1!$D10/(Foglio1!$E10+Foglio2!BF$89))*Foglio2!BF90/Foglio1!$D$5</f>
        <v>0.24917168241782933</v>
      </c>
      <c r="BG100">
        <f>EXP(Foglio1!$C10-Foglio1!$D10/(Foglio1!$E10+Foglio2!BG$89))*Foglio2!BG90/Foglio1!$D$5</f>
        <v>0.24917165195546603</v>
      </c>
      <c r="BH100">
        <f>EXP(Foglio1!$C10-Foglio1!$D10/(Foglio1!$E10+Foglio2!BH$89))*Foglio2!BH90/Foglio1!$D$5</f>
        <v>0.24917163672428536</v>
      </c>
      <c r="BI100">
        <f>EXP(Foglio1!$C10-Foglio1!$D10/(Foglio1!$E10+Foglio2!BI$89))*Foglio2!BI90/Foglio1!$D$5</f>
        <v>0.24917162910869489</v>
      </c>
      <c r="BJ100">
        <f>EXP(Foglio1!$C10-Foglio1!$D10/(Foglio1!$E10+Foglio2!BJ$89))*Foglio2!BJ90/Foglio1!$D$5</f>
        <v>0.24917162530090023</v>
      </c>
      <c r="BK100">
        <f>EXP(Foglio1!$C10-Foglio1!$D10/(Foglio1!$E10+Foglio2!BK$89))*Foglio2!BK90/Foglio1!$D$5</f>
        <v>0.24917162720479777</v>
      </c>
      <c r="BL100">
        <f>EXP(Foglio1!$C10-Foglio1!$D10/(Foglio1!$E10+Foglio2!BL$89))*Foglio2!BL90/Foglio1!$D$5</f>
        <v>0.24917162815674634</v>
      </c>
      <c r="BM100">
        <f>EXP(Foglio1!$C10-Foglio1!$D10/(Foglio1!$E10+Foglio2!BM$89))*Foglio2!BM90/Foglio1!$D$5</f>
        <v>0.2491716286327206</v>
      </c>
      <c r="BN100">
        <f>EXP(Foglio1!$C10-Foglio1!$D10/(Foglio1!$E10+Foglio2!BN$89))*Foglio2!BN90/Foglio1!$D$5</f>
        <v>0.24917162839473347</v>
      </c>
      <c r="BO100">
        <f>EXP(Foglio1!$C10-Foglio1!$D10/(Foglio1!$E10+Foglio2!BO$89))*Foglio2!BO90/Foglio1!$D$5</f>
        <v>0.24917162827573969</v>
      </c>
      <c r="BP100">
        <f>EXP(Foglio1!$C10-Foglio1!$D10/(Foglio1!$E10+Foglio2!BP$89))*Foglio2!BP90/Foglio1!$D$5</f>
        <v>0.249171628216243</v>
      </c>
      <c r="BQ100">
        <f>EXP(Foglio1!$C10-Foglio1!$D10/(Foglio1!$E10+Foglio2!BQ$89))*Foglio2!BQ90/Foglio1!$D$5</f>
        <v>0.24917162818649466</v>
      </c>
      <c r="BR100">
        <f>EXP(Foglio1!$C10-Foglio1!$D10/(Foglio1!$E10+Foglio2!BR$89))*Foglio2!BR90/Foglio1!$D$5</f>
        <v>0.24917162820136929</v>
      </c>
      <c r="BS100">
        <f>EXP(Foglio1!$C10-Foglio1!$D10/(Foglio1!$E10+Foglio2!BS$89))*Foglio2!BS90/Foglio1!$D$5</f>
        <v>0.24917162819393152</v>
      </c>
      <c r="BT100">
        <f>EXP(Foglio1!$C10-Foglio1!$D10/(Foglio1!$E10+Foglio2!BT$89))*Foglio2!BT90/Foglio1!$D$5</f>
        <v>0.24917162819765043</v>
      </c>
      <c r="BU100">
        <f>EXP(Foglio1!$C10-Foglio1!$D10/(Foglio1!$E10+Foglio2!BU$89))*Foglio2!BU90/Foglio1!$D$5</f>
        <v>0.24917162819579142</v>
      </c>
      <c r="BV100">
        <f>EXP(Foglio1!$C10-Foglio1!$D10/(Foglio1!$E10+Foglio2!BV$89))*Foglio2!BV90/Foglio1!$D$5</f>
        <v>0.24917162819486147</v>
      </c>
      <c r="BW100">
        <f>EXP(Foglio1!$C10-Foglio1!$D10/(Foglio1!$E10+Foglio2!BW$89))*Foglio2!BW90/Foglio1!$D$5</f>
        <v>0.24917162819532621</v>
      </c>
      <c r="BX100">
        <f>EXP(Foglio1!$C10-Foglio1!$D10/(Foglio1!$E10+Foglio2!BX$89))*Foglio2!BX90/Foglio1!$D$5</f>
        <v>0.24917162819509384</v>
      </c>
      <c r="BY100">
        <f>EXP(Foglio1!$C10-Foglio1!$D10/(Foglio1!$E10+Foglio2!BY$89))*Foglio2!BY90/Foglio1!$D$5</f>
        <v>0.2491716281952098</v>
      </c>
      <c r="BZ100">
        <f>EXP(Foglio1!$C10-Foglio1!$D10/(Foglio1!$E10+Foglio2!BZ$89))*Foglio2!BZ90/Foglio1!$D$5</f>
        <v>0.24917162819526822</v>
      </c>
      <c r="CA100">
        <f>EXP(Foglio1!$C10-Foglio1!$D10/(Foglio1!$E10+Foglio2!CA$89))*Foglio2!CA90/Foglio1!$D$5</f>
        <v>0.249171628195239</v>
      </c>
      <c r="CB100">
        <f>EXP(Foglio1!$C10-Foglio1!$D10/(Foglio1!$E10+Foglio2!CB$89))*Foglio2!CB90/Foglio1!$D$5</f>
        <v>0.24917162819525362</v>
      </c>
      <c r="CC100">
        <f>EXP(Foglio1!$C10-Foglio1!$D10/(Foglio1!$E10+Foglio2!CC$89))*Foglio2!CC90/Foglio1!$D$5</f>
        <v>0.24917162819526115</v>
      </c>
      <c r="CD100">
        <f>EXP(Foglio1!$C10-Foglio1!$D10/(Foglio1!$E10+Foglio2!CD$89))*Foglio2!CD90/Foglio1!$D$5</f>
        <v>0.24917162819525762</v>
      </c>
      <c r="CE100">
        <f>EXP(Foglio1!$C10-Foglio1!$D10/(Foglio1!$E10+Foglio2!CE$89))*Foglio2!CE90/Foglio1!$D$5</f>
        <v>0.24917162819525934</v>
      </c>
      <c r="CF100">
        <f>EXP(Foglio1!$C10-Foglio1!$D10/(Foglio1!$E10+Foglio2!CF$89))*Foglio2!CF90/Foglio1!$D$5</f>
        <v>0.24917162819525807</v>
      </c>
    </row>
    <row r="101" spans="34:84" x14ac:dyDescent="0.25">
      <c r="AH101" t="s">
        <v>67</v>
      </c>
      <c r="AI101">
        <f>EXP(Foglio1!$C11-Foglio1!$D11/(Foglio1!$E11+Foglio2!AI$89))*Foglio2!AI91/Foglio1!$D$5</f>
        <v>0.48846760325613431</v>
      </c>
      <c r="AJ101">
        <f>EXP(Foglio1!$C11-Foglio1!$D11/(Foglio1!$E11+Foglio2!AJ$89))*Foglio2!AJ91/Foglio1!$D$5</f>
        <v>0.16026164390115508</v>
      </c>
      <c r="AK101">
        <f>EXP(Foglio1!$C11-Foglio1!$D11/(Foglio1!$E11+Foglio2!AK$89))*Foglio2!AK91/Foglio1!$D$5</f>
        <v>0.29402735558452786</v>
      </c>
      <c r="AL101">
        <f>EXP(Foglio1!$C11-Foglio1!$D11/(Foglio1!$E11+Foglio2!AL$89))*Foglio2!AL91/Foglio1!$D$5</f>
        <v>0.22016635310061636</v>
      </c>
      <c r="AM101">
        <f>EXP(Foglio1!$C11-Foglio1!$D11/(Foglio1!$E11+Foglio2!AM$89))*Foglio2!AM91/Foglio1!$D$5</f>
        <v>0.25527012950334188</v>
      </c>
      <c r="AN101">
        <f>EXP(Foglio1!$C11-Foglio1!$D11/(Foglio1!$E11+Foglio2!AN$89))*Foglio2!AN91/Foglio1!$D$5</f>
        <v>0.2372714567615497</v>
      </c>
      <c r="AO101">
        <f>EXP(Foglio1!$C11-Foglio1!$D11/(Foglio1!$E11+Foglio2!AO$89))*Foglio2!AO91/Foglio1!$D$5</f>
        <v>0.24615783542502978</v>
      </c>
      <c r="AP101">
        <f>EXP(Foglio1!$C11-Foglio1!$D11/(Foglio1!$E11+Foglio2!AP$89))*Foglio2!AP91/Foglio1!$D$5</f>
        <v>0.24168656285871645</v>
      </c>
      <c r="AQ101">
        <f>EXP(Foglio1!$C11-Foglio1!$D11/(Foglio1!$E11+Foglio2!AQ$89))*Foglio2!AQ91/Foglio1!$D$5</f>
        <v>0.24391515871431224</v>
      </c>
      <c r="AR101">
        <f>EXP(Foglio1!$C11-Foglio1!$D11/(Foglio1!$E11+Foglio2!AR$89))*Foglio2!AR91/Foglio1!$D$5</f>
        <v>0.24503473451868832</v>
      </c>
      <c r="AS101">
        <f>EXP(Foglio1!$C11-Foglio1!$D11/(Foglio1!$E11+Foglio2!AS$89))*Foglio2!AS91/Foglio1!$D$5</f>
        <v>0.24559584402912046</v>
      </c>
      <c r="AT101">
        <f>EXP(Foglio1!$C11-Foglio1!$D11/(Foglio1!$E11+Foglio2!AT$89))*Foglio2!AT91/Foglio1!$D$5</f>
        <v>0.24587672945329853</v>
      </c>
      <c r="AU101">
        <f>EXP(Foglio1!$C11-Foglio1!$D11/(Foglio1!$E11+Foglio2!AU$89))*Foglio2!AU91/Foglio1!$D$5</f>
        <v>0.24601725486596118</v>
      </c>
      <c r="AV101">
        <f>EXP(Foglio1!$C11-Foglio1!$D11/(Foglio1!$E11+Foglio2!AV$89))*Foglio2!AV91/Foglio1!$D$5</f>
        <v>0.24608753825159979</v>
      </c>
      <c r="AW101">
        <f>EXP(Foglio1!$C11-Foglio1!$D11/(Foglio1!$E11+Foglio2!AW$89))*Foglio2!AW91/Foglio1!$D$5</f>
        <v>0.24612268511476607</v>
      </c>
      <c r="AX101">
        <f>EXP(Foglio1!$C11-Foglio1!$D11/(Foglio1!$E11+Foglio2!AX$89))*Foglio2!AX91/Foglio1!$D$5</f>
        <v>0.24610511125230553</v>
      </c>
      <c r="AY101">
        <f>EXP(Foglio1!$C11-Foglio1!$D11/(Foglio1!$E11+Foglio2!AY$89))*Foglio2!AY91/Foglio1!$D$5</f>
        <v>0.24611389807581516</v>
      </c>
      <c r="AZ101">
        <f>EXP(Foglio1!$C11-Foglio1!$D11/(Foglio1!$E11+Foglio2!AZ$89))*Foglio2!AZ91/Foglio1!$D$5</f>
        <v>0.2461182915683604</v>
      </c>
      <c r="BA101">
        <f>EXP(Foglio1!$C11-Foglio1!$D11/(Foglio1!$E11+Foglio2!BA$89))*Foglio2!BA91/Foglio1!$D$5</f>
        <v>0.24611609481535532</v>
      </c>
      <c r="BB101">
        <f>EXP(Foglio1!$C11-Foglio1!$D11/(Foglio1!$E11+Foglio2!BB$89))*Foglio2!BB91/Foglio1!$D$5</f>
        <v>0.24611499644390206</v>
      </c>
      <c r="BC101">
        <f>EXP(Foglio1!$C11-Foglio1!$D11/(Foglio1!$E11+Foglio2!BC$89))*Foglio2!BC91/Foglio1!$D$5</f>
        <v>0.24611554562920812</v>
      </c>
      <c r="BD101">
        <f>EXP(Foglio1!$C11-Foglio1!$D11/(Foglio1!$E11+Foglio2!BD$89))*Foglio2!BD91/Foglio1!$D$5</f>
        <v>0.24611527103644973</v>
      </c>
      <c r="BE101">
        <f>EXP(Foglio1!$C11-Foglio1!$D11/(Foglio1!$E11+Foglio2!BE$89))*Foglio2!BE91/Foglio1!$D$5</f>
        <v>0.24611540833280243</v>
      </c>
      <c r="BF101">
        <f>EXP(Foglio1!$C11-Foglio1!$D11/(Foglio1!$E11+Foglio2!BF$89))*Foglio2!BF91/Foglio1!$D$5</f>
        <v>0.2461153396846196</v>
      </c>
      <c r="BG101">
        <f>EXP(Foglio1!$C11-Foglio1!$D11/(Foglio1!$E11+Foglio2!BG$89))*Foglio2!BG91/Foglio1!$D$5</f>
        <v>0.24611530536053314</v>
      </c>
      <c r="BH101">
        <f>EXP(Foglio1!$C11-Foglio1!$D11/(Foglio1!$E11+Foglio2!BH$89))*Foglio2!BH91/Foglio1!$D$5</f>
        <v>0.24611528819849127</v>
      </c>
      <c r="BI101">
        <f>EXP(Foglio1!$C11-Foglio1!$D11/(Foglio1!$E11+Foglio2!BI$89))*Foglio2!BI91/Foglio1!$D$5</f>
        <v>0.24611527961747037</v>
      </c>
      <c r="BJ101">
        <f>EXP(Foglio1!$C11-Foglio1!$D11/(Foglio1!$E11+Foglio2!BJ$89))*Foglio2!BJ91/Foglio1!$D$5</f>
        <v>0.24611527532696051</v>
      </c>
      <c r="BK101">
        <f>EXP(Foglio1!$C11-Foglio1!$D11/(Foglio1!$E11+Foglio2!BK$89))*Foglio2!BK91/Foglio1!$D$5</f>
        <v>0.24611527747221495</v>
      </c>
      <c r="BL101">
        <f>EXP(Foglio1!$C11-Foglio1!$D11/(Foglio1!$E11+Foglio2!BL$89))*Foglio2!BL91/Foglio1!$D$5</f>
        <v>0.24611527854484311</v>
      </c>
      <c r="BM101">
        <f>EXP(Foglio1!$C11-Foglio1!$D11/(Foglio1!$E11+Foglio2!BM$89))*Foglio2!BM91/Foglio1!$D$5</f>
        <v>0.2461152790811563</v>
      </c>
      <c r="BN101">
        <f>EXP(Foglio1!$C11-Foglio1!$D11/(Foglio1!$E11+Foglio2!BN$89))*Foglio2!BN91/Foglio1!$D$5</f>
        <v>0.24611527881299974</v>
      </c>
      <c r="BO101">
        <f>EXP(Foglio1!$C11-Foglio1!$D11/(Foglio1!$E11+Foglio2!BO$89))*Foglio2!BO91/Foglio1!$D$5</f>
        <v>0.24611527867892097</v>
      </c>
      <c r="BP101">
        <f>EXP(Foglio1!$C11-Foglio1!$D11/(Foglio1!$E11+Foglio2!BP$89))*Foglio2!BP91/Foglio1!$D$5</f>
        <v>0.24611527861188204</v>
      </c>
      <c r="BQ101">
        <f>EXP(Foglio1!$C11-Foglio1!$D11/(Foglio1!$E11+Foglio2!BQ$89))*Foglio2!BQ91/Foglio1!$D$5</f>
        <v>0.24611527857836235</v>
      </c>
      <c r="BR101">
        <f>EXP(Foglio1!$C11-Foglio1!$D11/(Foglio1!$E11+Foglio2!BR$89))*Foglio2!BR91/Foglio1!$D$5</f>
        <v>0.24611527859512244</v>
      </c>
      <c r="BS101">
        <f>EXP(Foglio1!$C11-Foglio1!$D11/(Foglio1!$E11+Foglio2!BS$89))*Foglio2!BS91/Foglio1!$D$5</f>
        <v>0.2461152785867424</v>
      </c>
      <c r="BT101">
        <f>EXP(Foglio1!$C11-Foglio1!$D11/(Foglio1!$E11+Foglio2!BT$89))*Foglio2!BT91/Foglio1!$D$5</f>
        <v>0.24611527859093238</v>
      </c>
      <c r="BU101">
        <f>EXP(Foglio1!$C11-Foglio1!$D11/(Foglio1!$E11+Foglio2!BU$89))*Foglio2!BU91/Foglio1!$D$5</f>
        <v>0.24611527858883742</v>
      </c>
      <c r="BV101">
        <f>EXP(Foglio1!$C11-Foglio1!$D11/(Foglio1!$E11+Foglio2!BV$89))*Foglio2!BV91/Foglio1!$D$5</f>
        <v>0.24611527858778992</v>
      </c>
      <c r="BW101">
        <f>EXP(Foglio1!$C11-Foglio1!$D11/(Foglio1!$E11+Foglio2!BW$89))*Foglio2!BW91/Foglio1!$D$5</f>
        <v>0.24611527858831364</v>
      </c>
      <c r="BX101">
        <f>EXP(Foglio1!$C11-Foglio1!$D11/(Foglio1!$E11+Foglio2!BX$89))*Foglio2!BX91/Foglio1!$D$5</f>
        <v>0.24611527858805132</v>
      </c>
      <c r="BY101">
        <f>EXP(Foglio1!$C11-Foglio1!$D11/(Foglio1!$E11+Foglio2!BY$89))*Foglio2!BY91/Foglio1!$D$5</f>
        <v>0.24611527858818247</v>
      </c>
      <c r="BZ101">
        <f>EXP(Foglio1!$C11-Foglio1!$D11/(Foglio1!$E11+Foglio2!BZ$89))*Foglio2!BZ91/Foglio1!$D$5</f>
        <v>0.24611527858824803</v>
      </c>
      <c r="CA101">
        <f>EXP(Foglio1!$C11-Foglio1!$D11/(Foglio1!$E11+Foglio2!CA$89))*Foglio2!CA91/Foglio1!$D$5</f>
        <v>0.24611527858821527</v>
      </c>
      <c r="CB101">
        <f>EXP(Foglio1!$C11-Foglio1!$D11/(Foglio1!$E11+Foglio2!CB$89))*Foglio2!CB91/Foglio1!$D$5</f>
        <v>0.24611527858823146</v>
      </c>
      <c r="CC101">
        <f>EXP(Foglio1!$C11-Foglio1!$D11/(Foglio1!$E11+Foglio2!CC$89))*Foglio2!CC91/Foglio1!$D$5</f>
        <v>0.24611527858824017</v>
      </c>
      <c r="CD101">
        <f>EXP(Foglio1!$C11-Foglio1!$D11/(Foglio1!$E11+Foglio2!CD$89))*Foglio2!CD91/Foglio1!$D$5</f>
        <v>0.24611527858823584</v>
      </c>
      <c r="CE101">
        <f>EXP(Foglio1!$C11-Foglio1!$D11/(Foglio1!$E11+Foglio2!CE$89))*Foglio2!CE91/Foglio1!$D$5</f>
        <v>0.24611527858823756</v>
      </c>
      <c r="CF101">
        <f>EXP(Foglio1!$C11-Foglio1!$D11/(Foglio1!$E11+Foglio2!CF$89))*Foglio2!CF91/Foglio1!$D$5</f>
        <v>0.24611527858823673</v>
      </c>
    </row>
    <row r="102" spans="34:84" x14ac:dyDescent="0.25">
      <c r="AH102" t="s">
        <v>68</v>
      </c>
      <c r="AI102">
        <f>EXP(Foglio1!$C12-Foglio1!$D12/(Foglio1!$E12+Foglio2!AI$89))*Foglio2!AI92/Foglio1!$D$5</f>
        <v>0.5888060779969625</v>
      </c>
      <c r="AJ102">
        <f>EXP(Foglio1!$C12-Foglio1!$D12/(Foglio1!$E12+Foglio2!AJ$89))*Foglio2!AJ92/Foglio1!$D$5</f>
        <v>0.17899539889760185</v>
      </c>
      <c r="AK102">
        <f>EXP(Foglio1!$C12-Foglio1!$D12/(Foglio1!$E12+Foglio2!AK$89))*Foglio2!AK92/Foglio1!$D$5</f>
        <v>0.3423946452328871</v>
      </c>
      <c r="AL102">
        <f>EXP(Foglio1!$C12-Foglio1!$D12/(Foglio1!$E12+Foglio2!AL$89))*Foglio2!AL92/Foglio1!$D$5</f>
        <v>0.25134827136806603</v>
      </c>
      <c r="AM102">
        <f>EXP(Foglio1!$C12-Foglio1!$D12/(Foglio1!$E12+Foglio2!AM$89))*Foglio2!AM92/Foglio1!$D$5</f>
        <v>0.29439895808077809</v>
      </c>
      <c r="AN102">
        <f>EXP(Foglio1!$C12-Foglio1!$D12/(Foglio1!$E12+Foglio2!AN$89))*Foglio2!AN92/Foglio1!$D$5</f>
        <v>0.27227207869350623</v>
      </c>
      <c r="AO102">
        <f>EXP(Foglio1!$C12-Foglio1!$D12/(Foglio1!$E12+Foglio2!AO$89))*Foglio2!AO92/Foglio1!$D$5</f>
        <v>0.28318303454174487</v>
      </c>
      <c r="AP102">
        <f>EXP(Foglio1!$C12-Foglio1!$D12/(Foglio1!$E12+Foglio2!AP$89))*Foglio2!AP92/Foglio1!$D$5</f>
        <v>0.27768969655604647</v>
      </c>
      <c r="AQ102">
        <f>EXP(Foglio1!$C12-Foglio1!$D12/(Foglio1!$E12+Foglio2!AQ$89))*Foglio2!AQ92/Foglio1!$D$5</f>
        <v>0.28042686782040432</v>
      </c>
      <c r="AR102">
        <f>EXP(Foglio1!$C12-Foglio1!$D12/(Foglio1!$E12+Foglio2!AR$89))*Foglio2!AR92/Foglio1!$D$5</f>
        <v>0.28180257266855308</v>
      </c>
      <c r="AS102">
        <f>EXP(Foglio1!$C12-Foglio1!$D12/(Foglio1!$E12+Foglio2!AS$89))*Foglio2!AS92/Foglio1!$D$5</f>
        <v>0.28249220846751777</v>
      </c>
      <c r="AT102">
        <f>EXP(Foglio1!$C12-Foglio1!$D12/(Foglio1!$E12+Foglio2!AT$89))*Foglio2!AT92/Foglio1!$D$5</f>
        <v>0.28283747265657033</v>
      </c>
      <c r="AU102">
        <f>EXP(Foglio1!$C12-Foglio1!$D12/(Foglio1!$E12+Foglio2!AU$89))*Foglio2!AU92/Foglio1!$D$5</f>
        <v>0.28301021637918794</v>
      </c>
      <c r="AV102">
        <f>EXP(Foglio1!$C12-Foglio1!$D12/(Foglio1!$E12+Foglio2!AV$89))*Foglio2!AV92/Foglio1!$D$5</f>
        <v>0.2830966161544799</v>
      </c>
      <c r="AW102">
        <f>EXP(Foglio1!$C12-Foglio1!$D12/(Foglio1!$E12+Foglio2!AW$89))*Foglio2!AW92/Foglio1!$D$5</f>
        <v>0.28313982302149082</v>
      </c>
      <c r="AX102">
        <f>EXP(Foglio1!$C12-Foglio1!$D12/(Foglio1!$E12+Foglio2!AX$89))*Foglio2!AX92/Foglio1!$D$5</f>
        <v>0.28311821900634565</v>
      </c>
      <c r="AY102">
        <f>EXP(Foglio1!$C12-Foglio1!$D12/(Foglio1!$E12+Foglio2!AY$89))*Foglio2!AY92/Foglio1!$D$5</f>
        <v>0.28312902086850666</v>
      </c>
      <c r="AZ102">
        <f>EXP(Foglio1!$C12-Foglio1!$D12/(Foglio1!$E12+Foglio2!AZ$89))*Foglio2!AZ92/Foglio1!$D$5</f>
        <v>0.28313442190864563</v>
      </c>
      <c r="BA102">
        <f>EXP(Foglio1!$C12-Foglio1!$D12/(Foglio1!$E12+Foglio2!BA$89))*Foglio2!BA92/Foglio1!$D$5</f>
        <v>0.28313172137948744</v>
      </c>
      <c r="BB102">
        <f>EXP(Foglio1!$C12-Foglio1!$D12/(Foglio1!$E12+Foglio2!BB$89))*Foglio2!BB92/Foglio1!$D$5</f>
        <v>0.2831303711217249</v>
      </c>
      <c r="BC102">
        <f>EXP(Foglio1!$C12-Foglio1!$D12/(Foglio1!$E12+Foglio2!BC$89))*Foglio2!BC92/Foglio1!$D$5</f>
        <v>0.28313104625003865</v>
      </c>
      <c r="BD102">
        <f>EXP(Foglio1!$C12-Foglio1!$D12/(Foglio1!$E12+Foglio2!BD$89))*Foglio2!BD92/Foglio1!$D$5</f>
        <v>0.28313070868573964</v>
      </c>
      <c r="BE102">
        <f>EXP(Foglio1!$C12-Foglio1!$D12/(Foglio1!$E12+Foglio2!BE$89))*Foglio2!BE92/Foglio1!$D$5</f>
        <v>0.2831308774678537</v>
      </c>
      <c r="BF102">
        <f>EXP(Foglio1!$C12-Foglio1!$D12/(Foglio1!$E12+Foglio2!BF$89))*Foglio2!BF92/Foglio1!$D$5</f>
        <v>0.28313079307678757</v>
      </c>
      <c r="BG102">
        <f>EXP(Foglio1!$C12-Foglio1!$D12/(Foglio1!$E12+Foglio2!BG$89))*Foglio2!BG92/Foglio1!$D$5</f>
        <v>0.28313075088126172</v>
      </c>
      <c r="BH102">
        <f>EXP(Foglio1!$C12-Foglio1!$D12/(Foglio1!$E12+Foglio2!BH$89))*Foglio2!BH92/Foglio1!$D$5</f>
        <v>0.2831307297834999</v>
      </c>
      <c r="BI102">
        <f>EXP(Foglio1!$C12-Foglio1!$D12/(Foglio1!$E12+Foglio2!BI$89))*Foglio2!BI92/Foglio1!$D$5</f>
        <v>0.28313071923461952</v>
      </c>
      <c r="BJ102">
        <f>EXP(Foglio1!$C12-Foglio1!$D12/(Foglio1!$E12+Foglio2!BJ$89))*Foglio2!BJ92/Foglio1!$D$5</f>
        <v>0.2831307139601793</v>
      </c>
      <c r="BK102">
        <f>EXP(Foglio1!$C12-Foglio1!$D12/(Foglio1!$E12+Foglio2!BK$89))*Foglio2!BK92/Foglio1!$D$5</f>
        <v>0.28313071659739969</v>
      </c>
      <c r="BL102">
        <f>EXP(Foglio1!$C12-Foglio1!$D12/(Foglio1!$E12+Foglio2!BL$89))*Foglio2!BL92/Foglio1!$D$5</f>
        <v>0.28313071791600986</v>
      </c>
      <c r="BM102">
        <f>EXP(Foglio1!$C12-Foglio1!$D12/(Foglio1!$E12+Foglio2!BM$89))*Foglio2!BM92/Foglio1!$D$5</f>
        <v>0.28313071857531447</v>
      </c>
      <c r="BN102">
        <f>EXP(Foglio1!$C12-Foglio1!$D12/(Foglio1!$E12+Foglio2!BN$89))*Foglio2!BN92/Foglio1!$D$5</f>
        <v>0.28313071824566216</v>
      </c>
      <c r="BO102">
        <f>EXP(Foglio1!$C12-Foglio1!$D12/(Foglio1!$E12+Foglio2!BO$89))*Foglio2!BO92/Foglio1!$D$5</f>
        <v>0.28313071808083579</v>
      </c>
      <c r="BP102">
        <f>EXP(Foglio1!$C12-Foglio1!$D12/(Foglio1!$E12+Foglio2!BP$89))*Foglio2!BP92/Foglio1!$D$5</f>
        <v>0.28313071799842282</v>
      </c>
      <c r="BQ102">
        <f>EXP(Foglio1!$C12-Foglio1!$D12/(Foglio1!$E12+Foglio2!BQ$89))*Foglio2!BQ92/Foglio1!$D$5</f>
        <v>0.28313071795721634</v>
      </c>
      <c r="BR102">
        <f>EXP(Foglio1!$C12-Foglio1!$D12/(Foglio1!$E12+Foglio2!BR$89))*Foglio2!BR92/Foglio1!$D$5</f>
        <v>0.2831307179778193</v>
      </c>
      <c r="BS102">
        <f>EXP(Foglio1!$C12-Foglio1!$D12/(Foglio1!$E12+Foglio2!BS$89))*Foglio2!BS92/Foglio1!$D$5</f>
        <v>0.2831307179675181</v>
      </c>
      <c r="BT102">
        <f>EXP(Foglio1!$C12-Foglio1!$D12/(Foglio1!$E12+Foglio2!BT$89))*Foglio2!BT92/Foglio1!$D$5</f>
        <v>0.2831307179726687</v>
      </c>
      <c r="BU102">
        <f>EXP(Foglio1!$C12-Foglio1!$D12/(Foglio1!$E12+Foglio2!BU$89))*Foglio2!BU92/Foglio1!$D$5</f>
        <v>0.28313071797009315</v>
      </c>
      <c r="BV102">
        <f>EXP(Foglio1!$C12-Foglio1!$D12/(Foglio1!$E12+Foglio2!BV$89))*Foglio2!BV92/Foglio1!$D$5</f>
        <v>0.28313071796880562</v>
      </c>
      <c r="BW102">
        <f>EXP(Foglio1!$C12-Foglio1!$D12/(Foglio1!$E12+Foglio2!BW$89))*Foglio2!BW92/Foglio1!$D$5</f>
        <v>0.28313071796944939</v>
      </c>
      <c r="BX102">
        <f>EXP(Foglio1!$C12-Foglio1!$D12/(Foglio1!$E12+Foglio2!BX$89))*Foglio2!BX92/Foglio1!$D$5</f>
        <v>0.28313071796912748</v>
      </c>
      <c r="BY102">
        <f>EXP(Foglio1!$C12-Foglio1!$D12/(Foglio1!$E12+Foglio2!BY$89))*Foglio2!BY92/Foglio1!$D$5</f>
        <v>0.28313071796928846</v>
      </c>
      <c r="BZ102">
        <f>EXP(Foglio1!$C12-Foglio1!$D12/(Foglio1!$E12+Foglio2!BZ$89))*Foglio2!BZ92/Foglio1!$D$5</f>
        <v>0.28313071796936889</v>
      </c>
      <c r="CA102">
        <f>EXP(Foglio1!$C12-Foglio1!$D12/(Foglio1!$E12+Foglio2!CA$89))*Foglio2!CA92/Foglio1!$D$5</f>
        <v>0.2831307179693287</v>
      </c>
      <c r="CB102">
        <f>EXP(Foglio1!$C12-Foglio1!$D12/(Foglio1!$E12+Foglio2!CB$89))*Foglio2!CB92/Foglio1!$D$5</f>
        <v>0.2831307179693488</v>
      </c>
      <c r="CC102">
        <f>EXP(Foglio1!$C12-Foglio1!$D12/(Foglio1!$E12+Foglio2!CC$89))*Foglio2!CC92/Foglio1!$D$5</f>
        <v>0.28313071796935885</v>
      </c>
      <c r="CD102">
        <f>EXP(Foglio1!$C12-Foglio1!$D12/(Foglio1!$E12+Foglio2!CD$89))*Foglio2!CD92/Foglio1!$D$5</f>
        <v>0.28313071796935385</v>
      </c>
      <c r="CE102">
        <f>EXP(Foglio1!$C12-Foglio1!$D12/(Foglio1!$E12+Foglio2!CE$89))*Foglio2!CE92/Foglio1!$D$5</f>
        <v>0.28313071796935679</v>
      </c>
      <c r="CF102">
        <f>EXP(Foglio1!$C12-Foglio1!$D12/(Foglio1!$E12+Foglio2!CF$89))*Foglio2!CF92/Foglio1!$D$5</f>
        <v>0.28313071796935479</v>
      </c>
    </row>
    <row r="103" spans="34:84" x14ac:dyDescent="0.25">
      <c r="AH103" t="s">
        <v>69</v>
      </c>
      <c r="AI103">
        <f>EXP(Foglio1!$C13-Foglio1!$D13/(Foglio1!$E13+Foglio2!AI$89))*Foglio2!AI93/Foglio1!$D$5</f>
        <v>0.2091621532337912</v>
      </c>
      <c r="AJ103">
        <f>EXP(Foglio1!$C13-Foglio1!$D13/(Foglio1!$E13+Foglio2!AJ$89))*Foglio2!AJ93/Foglio1!$D$5</f>
        <v>5.4540201960285736E-2</v>
      </c>
      <c r="AK103">
        <f>EXP(Foglio1!$C13-Foglio1!$D13/(Foglio1!$E13+Foglio2!AK$89))*Foglio2!AK93/Foglio1!$D$5</f>
        <v>0.11354219184368779</v>
      </c>
      <c r="AL103">
        <f>EXP(Foglio1!$C13-Foglio1!$D13/(Foglio1!$E13+Foglio2!AL$89))*Foglio2!AL93/Foglio1!$D$5</f>
        <v>8.008029520292978E-2</v>
      </c>
      <c r="AM103">
        <f>EXP(Foglio1!$C13-Foglio1!$D13/(Foglio1!$E13+Foglio2!AM$89))*Foglio2!AM93/Foglio1!$D$5</f>
        <v>9.5742807597581692E-2</v>
      </c>
      <c r="AN103">
        <f>EXP(Foglio1!$C13-Foglio1!$D13/(Foglio1!$E13+Foglio2!AN$89))*Foglio2!AN93/Foglio1!$D$5</f>
        <v>8.7654187579109324E-2</v>
      </c>
      <c r="AO103">
        <f>EXP(Foglio1!$C13-Foglio1!$D13/(Foglio1!$E13+Foglio2!AO$89))*Foglio2!AO93/Foglio1!$D$5</f>
        <v>9.1632935146287162E-2</v>
      </c>
      <c r="AP103">
        <f>EXP(Foglio1!$C13-Foglio1!$D13/(Foglio1!$E13+Foglio2!AP$89))*Foglio2!AP93/Foglio1!$D$5</f>
        <v>8.9627323271493975E-2</v>
      </c>
      <c r="AQ103">
        <f>EXP(Foglio1!$C13-Foglio1!$D13/(Foglio1!$E13+Foglio2!AQ$89))*Foglio2!AQ93/Foglio1!$D$5</f>
        <v>9.0626050609423747E-2</v>
      </c>
      <c r="AR103">
        <f>EXP(Foglio1!$C13-Foglio1!$D13/(Foglio1!$E13+Foglio2!AR$89))*Foglio2!AR93/Foglio1!$D$5</f>
        <v>9.1128470844386231E-2</v>
      </c>
      <c r="AS103">
        <f>EXP(Foglio1!$C13-Foglio1!$D13/(Foglio1!$E13+Foglio2!AS$89))*Foglio2!AS93/Foglio1!$D$5</f>
        <v>9.1380447189082781E-2</v>
      </c>
      <c r="AT103">
        <f>EXP(Foglio1!$C13-Foglio1!$D13/(Foglio1!$E13+Foglio2!AT$89))*Foglio2!AT93/Foglio1!$D$5</f>
        <v>9.1506627178889716E-2</v>
      </c>
      <c r="AU103">
        <f>EXP(Foglio1!$C13-Foglio1!$D13/(Foglio1!$E13+Foglio2!AU$89))*Foglio2!AU93/Foglio1!$D$5</f>
        <v>9.156976516073595E-2</v>
      </c>
      <c r="AV103">
        <f>EXP(Foglio1!$C13-Foglio1!$D13/(Foglio1!$E13+Foglio2!AV$89))*Foglio2!AV93/Foglio1!$D$5</f>
        <v>9.1601346152466748E-2</v>
      </c>
      <c r="AW103">
        <f>EXP(Foglio1!$C13-Foglio1!$D13/(Foglio1!$E13+Foglio2!AW$89))*Foglio2!AW93/Foglio1!$D$5</f>
        <v>9.1617139649042945E-2</v>
      </c>
      <c r="AX103">
        <f>EXP(Foglio1!$C13-Foglio1!$D13/(Foglio1!$E13+Foglio2!AX$89))*Foglio2!AX93/Foglio1!$D$5</f>
        <v>9.1609242650680447E-2</v>
      </c>
      <c r="AY103">
        <f>EXP(Foglio1!$C13-Foglio1!$D13/(Foglio1!$E13+Foglio2!AY$89))*Foglio2!AY93/Foglio1!$D$5</f>
        <v>9.1613191087342088E-2</v>
      </c>
      <c r="AZ103">
        <f>EXP(Foglio1!$C13-Foglio1!$D13/(Foglio1!$E13+Foglio2!AZ$89))*Foglio2!AZ93/Foglio1!$D$5</f>
        <v>9.1615165352562311E-2</v>
      </c>
      <c r="BA103">
        <f>EXP(Foglio1!$C13-Foglio1!$D13/(Foglio1!$E13+Foglio2!BA$89))*Foglio2!BA93/Foglio1!$D$5</f>
        <v>9.16141782160447E-2</v>
      </c>
      <c r="BB103">
        <f>EXP(Foglio1!$C13-Foglio1!$D13/(Foglio1!$E13+Foglio2!BB$89))*Foglio2!BB93/Foglio1!$D$5</f>
        <v>9.161368465071637E-2</v>
      </c>
      <c r="BC103">
        <f>EXP(Foglio1!$C13-Foglio1!$D13/(Foglio1!$E13+Foglio2!BC$89))*Foglio2!BC93/Foglio1!$D$5</f>
        <v>9.1613931433136522E-2</v>
      </c>
      <c r="BD103">
        <f>EXP(Foglio1!$C13-Foglio1!$D13/(Foglio1!$E13+Foglio2!BD$89))*Foglio2!BD93/Foglio1!$D$5</f>
        <v>9.1613808041865322E-2</v>
      </c>
      <c r="BE103">
        <f>EXP(Foglio1!$C13-Foglio1!$D13/(Foglio1!$E13+Foglio2!BE$89))*Foglio2!BE93/Foglio1!$D$5</f>
        <v>9.1613869737485601E-2</v>
      </c>
      <c r="BF103">
        <f>EXP(Foglio1!$C13-Foglio1!$D13/(Foglio1!$E13+Foglio2!BF$89))*Foglio2!BF93/Foglio1!$D$5</f>
        <v>9.1613838889671576E-2</v>
      </c>
      <c r="BG103">
        <f>EXP(Foglio1!$C13-Foglio1!$D13/(Foglio1!$E13+Foglio2!BG$89))*Foglio2!BG93/Foglio1!$D$5</f>
        <v>9.1613823465767477E-2</v>
      </c>
      <c r="BH103">
        <f>EXP(Foglio1!$C13-Foglio1!$D13/(Foglio1!$E13+Foglio2!BH$89))*Foglio2!BH93/Foglio1!$D$5</f>
        <v>9.161381575381608E-2</v>
      </c>
      <c r="BI103">
        <f>EXP(Foglio1!$C13-Foglio1!$D13/(Foglio1!$E13+Foglio2!BI$89))*Foglio2!BI93/Foglio1!$D$5</f>
        <v>9.1613811897840694E-2</v>
      </c>
      <c r="BJ103">
        <f>EXP(Foglio1!$C13-Foglio1!$D13/(Foglio1!$E13+Foglio2!BJ$89))*Foglio2!BJ93/Foglio1!$D$5</f>
        <v>9.1613809969853077E-2</v>
      </c>
      <c r="BK103">
        <f>EXP(Foglio1!$C13-Foglio1!$D13/(Foglio1!$E13+Foglio2!BK$89))*Foglio2!BK93/Foglio1!$D$5</f>
        <v>9.1613810933846712E-2</v>
      </c>
      <c r="BL103">
        <f>EXP(Foglio1!$C13-Foglio1!$D13/(Foglio1!$E13+Foglio2!BL$89))*Foglio2!BL93/Foglio1!$D$5</f>
        <v>9.1613811415843779E-2</v>
      </c>
      <c r="BM103">
        <f>EXP(Foglio1!$C13-Foglio1!$D13/(Foglio1!$E13+Foglio2!BM$89))*Foglio2!BM93/Foglio1!$D$5</f>
        <v>9.161381165684207E-2</v>
      </c>
      <c r="BN103">
        <f>EXP(Foglio1!$C13-Foglio1!$D13/(Foglio1!$E13+Foglio2!BN$89))*Foglio2!BN93/Foglio1!$D$5</f>
        <v>9.1613811536342932E-2</v>
      </c>
      <c r="BO103">
        <f>EXP(Foglio1!$C13-Foglio1!$D13/(Foglio1!$E13+Foglio2!BO$89))*Foglio2!BO93/Foglio1!$D$5</f>
        <v>9.1613811476093265E-2</v>
      </c>
      <c r="BP103">
        <f>EXP(Foglio1!$C13-Foglio1!$D13/(Foglio1!$E13+Foglio2!BP$89))*Foglio2!BP93/Foglio1!$D$5</f>
        <v>9.1613811445968696E-2</v>
      </c>
      <c r="BQ103">
        <f>EXP(Foglio1!$C13-Foglio1!$D13/(Foglio1!$E13+Foglio2!BQ$89))*Foglio2!BQ93/Foglio1!$D$5</f>
        <v>9.1613811430906245E-2</v>
      </c>
      <c r="BR103">
        <f>EXP(Foglio1!$C13-Foglio1!$D13/(Foglio1!$E13+Foglio2!BR$89))*Foglio2!BR93/Foglio1!$D$5</f>
        <v>9.161381143843747E-2</v>
      </c>
      <c r="BS103">
        <f>EXP(Foglio1!$C13-Foglio1!$D13/(Foglio1!$E13+Foglio2!BS$89))*Foglio2!BS93/Foglio1!$D$5</f>
        <v>9.1613811434671705E-2</v>
      </c>
      <c r="BT103">
        <f>EXP(Foglio1!$C13-Foglio1!$D13/(Foglio1!$E13+Foglio2!BT$89))*Foglio2!BT93/Foglio1!$D$5</f>
        <v>9.1613811436554574E-2</v>
      </c>
      <c r="BU103">
        <f>EXP(Foglio1!$C13-Foglio1!$D13/(Foglio1!$E13+Foglio2!BU$89))*Foglio2!BU93/Foglio1!$D$5</f>
        <v>9.1613811435613146E-2</v>
      </c>
      <c r="BV103">
        <f>EXP(Foglio1!$C13-Foglio1!$D13/(Foglio1!$E13+Foglio2!BV$89))*Foglio2!BV93/Foglio1!$D$5</f>
        <v>9.1613811435142328E-2</v>
      </c>
      <c r="BW103">
        <f>EXP(Foglio1!$C13-Foglio1!$D13/(Foglio1!$E13+Foglio2!BW$89))*Foglio2!BW93/Foglio1!$D$5</f>
        <v>9.1613811435377973E-2</v>
      </c>
      <c r="BX103">
        <f>EXP(Foglio1!$C13-Foglio1!$D13/(Foglio1!$E13+Foglio2!BX$89))*Foglio2!BX93/Foglio1!$D$5</f>
        <v>9.1613811435260151E-2</v>
      </c>
      <c r="BY103">
        <f>EXP(Foglio1!$C13-Foglio1!$D13/(Foglio1!$E13+Foglio2!BY$89))*Foglio2!BY93/Foglio1!$D$5</f>
        <v>9.1613811435319076E-2</v>
      </c>
      <c r="BZ103">
        <f>EXP(Foglio1!$C13-Foglio1!$D13/(Foglio1!$E13+Foglio2!BZ$89))*Foglio2!BZ93/Foglio1!$D$5</f>
        <v>9.1613811435348358E-2</v>
      </c>
      <c r="CA103">
        <f>EXP(Foglio1!$C13-Foglio1!$D13/(Foglio1!$E13+Foglio2!CA$89))*Foglio2!CA93/Foglio1!$D$5</f>
        <v>9.1613811435333717E-2</v>
      </c>
      <c r="CB103">
        <f>EXP(Foglio1!$C13-Foglio1!$D13/(Foglio1!$E13+Foglio2!CB$89))*Foglio2!CB93/Foglio1!$D$5</f>
        <v>9.161381143534103E-2</v>
      </c>
      <c r="CC103">
        <f>EXP(Foglio1!$C13-Foglio1!$D13/(Foglio1!$E13+Foglio2!CC$89))*Foglio2!CC93/Foglio1!$D$5</f>
        <v>9.1613811435344791E-2</v>
      </c>
      <c r="CD103">
        <f>EXP(Foglio1!$C13-Foglio1!$D13/(Foglio1!$E13+Foglio2!CD$89))*Foglio2!CD93/Foglio1!$D$5</f>
        <v>9.1613811435342835E-2</v>
      </c>
      <c r="CE103">
        <f>EXP(Foglio1!$C13-Foglio1!$D13/(Foglio1!$E13+Foglio2!CE$89))*Foglio2!CE93/Foglio1!$D$5</f>
        <v>9.1613811435343792E-2</v>
      </c>
      <c r="CF103">
        <f>EXP(Foglio1!$C13-Foglio1!$D13/(Foglio1!$E13+Foglio2!CF$89))*Foglio2!CF93/Foglio1!$D$5</f>
        <v>9.161381143534332E-2</v>
      </c>
    </row>
    <row r="104" spans="34:84" x14ac:dyDescent="0.25">
      <c r="AH104" t="s">
        <v>70</v>
      </c>
      <c r="AI104">
        <f>EXP(Foglio1!$C14-Foglio1!$D14/(Foglio1!$E14+Foglio2!AI$89))*Foglio2!AI94/Foglio1!$D$5</f>
        <v>0.31024749957619951</v>
      </c>
      <c r="AJ104">
        <f>EXP(Foglio1!$C14-Foglio1!$D14/(Foglio1!$E14+Foglio2!AJ$89))*Foglio2!AJ94/Foglio1!$D$5</f>
        <v>7.5240840682447255E-2</v>
      </c>
      <c r="AK104">
        <f>EXP(Foglio1!$C14-Foglio1!$D14/(Foglio1!$E14+Foglio2!AK$89))*Foglio2!AK94/Foglio1!$D$5</f>
        <v>0.16295257064618501</v>
      </c>
      <c r="AL104">
        <f>EXP(Foglio1!$C14-Foglio1!$D14/(Foglio1!$E14+Foglio2!AL$89))*Foglio2!AL94/Foglio1!$D$5</f>
        <v>0.11278525199350964</v>
      </c>
      <c r="AM104">
        <f>EXP(Foglio1!$C14-Foglio1!$D14/(Foglio1!$E14+Foglio2!AM$89))*Foglio2!AM94/Foglio1!$D$5</f>
        <v>0.13614947435562685</v>
      </c>
      <c r="AN104">
        <f>EXP(Foglio1!$C14-Foglio1!$D14/(Foglio1!$E14+Foglio2!AN$89))*Foglio2!AN94/Foglio1!$D$5</f>
        <v>0.12405530929827614</v>
      </c>
      <c r="AO104">
        <f>EXP(Foglio1!$C14-Foglio1!$D14/(Foglio1!$E14+Foglio2!AO$89))*Foglio2!AO94/Foglio1!$D$5</f>
        <v>0.1299971569343652</v>
      </c>
      <c r="AP104">
        <f>EXP(Foglio1!$C14-Foglio1!$D14/(Foglio1!$E14+Foglio2!AP$89))*Foglio2!AP94/Foglio1!$D$5</f>
        <v>0.12700020241498305</v>
      </c>
      <c r="AQ104">
        <f>EXP(Foglio1!$C14-Foglio1!$D14/(Foglio1!$E14+Foglio2!AQ$89))*Foglio2!AQ94/Foglio1!$D$5</f>
        <v>0.1284921372656346</v>
      </c>
      <c r="AR104">
        <f>EXP(Foglio1!$C14-Foglio1!$D14/(Foglio1!$E14+Foglio2!AR$89))*Foglio2!AR94/Foglio1!$D$5</f>
        <v>0.12924300715427445</v>
      </c>
      <c r="AS104">
        <f>EXP(Foglio1!$C14-Foglio1!$D14/(Foglio1!$E14+Foglio2!AS$89))*Foglio2!AS94/Foglio1!$D$5</f>
        <v>0.12961967151485024</v>
      </c>
      <c r="AT104">
        <f>EXP(Foglio1!$C14-Foglio1!$D14/(Foglio1!$E14+Foglio2!AT$89))*Foglio2!AT94/Foglio1!$D$5</f>
        <v>0.12980831152435418</v>
      </c>
      <c r="AU104">
        <f>EXP(Foglio1!$C14-Foglio1!$D14/(Foglio1!$E14+Foglio2!AU$89))*Foglio2!AU94/Foglio1!$D$5</f>
        <v>0.12990270854581015</v>
      </c>
      <c r="AV104">
        <f>EXP(Foglio1!$C14-Foglio1!$D14/(Foglio1!$E14+Foglio2!AV$89))*Foglio2!AV94/Foglio1!$D$5</f>
        <v>0.12994992631813937</v>
      </c>
      <c r="AW104">
        <f>EXP(Foglio1!$C14-Foglio1!$D14/(Foglio1!$E14+Foglio2!AW$89))*Foglio2!AW94/Foglio1!$D$5</f>
        <v>0.12997354002063269</v>
      </c>
      <c r="AX104">
        <f>EXP(Foglio1!$C14-Foglio1!$D14/(Foglio1!$E14+Foglio2!AX$89))*Foglio2!AX94/Foglio1!$D$5</f>
        <v>0.12996173276799775</v>
      </c>
      <c r="AY104">
        <f>EXP(Foglio1!$C14-Foglio1!$D14/(Foglio1!$E14+Foglio2!AY$89))*Foglio2!AY94/Foglio1!$D$5</f>
        <v>0.1299676362939661</v>
      </c>
      <c r="AZ104">
        <f>EXP(Foglio1!$C14-Foglio1!$D14/(Foglio1!$E14+Foglio2!AZ$89))*Foglio2!AZ94/Foglio1!$D$5</f>
        <v>0.12997058813221185</v>
      </c>
      <c r="BA104">
        <f>EXP(Foglio1!$C14-Foglio1!$D14/(Foglio1!$E14+Foglio2!BA$89))*Foglio2!BA94/Foglio1!$D$5</f>
        <v>0.12996911220681703</v>
      </c>
      <c r="BB104">
        <f>EXP(Foglio1!$C14-Foglio1!$D14/(Foglio1!$E14+Foglio2!BB$89))*Foglio2!BB94/Foglio1!$D$5</f>
        <v>0.1299683742488236</v>
      </c>
      <c r="BC104">
        <f>EXP(Foglio1!$C14-Foglio1!$D14/(Foglio1!$E14+Foglio2!BC$89))*Foglio2!BC94/Foglio1!$D$5</f>
        <v>0.12996874322742843</v>
      </c>
      <c r="BD104">
        <f>EXP(Foglio1!$C14-Foglio1!$D14/(Foglio1!$E14+Foglio2!BD$89))*Foglio2!BD94/Foglio1!$D$5</f>
        <v>0.12996855873802798</v>
      </c>
      <c r="BE104">
        <f>EXP(Foglio1!$C14-Foglio1!$D14/(Foglio1!$E14+Foglio2!BE$89))*Foglio2!BE94/Foglio1!$D$5</f>
        <v>0.12996865098270369</v>
      </c>
      <c r="BF104">
        <f>EXP(Foglio1!$C14-Foglio1!$D14/(Foglio1!$E14+Foglio2!BF$89))*Foglio2!BF94/Foglio1!$D$5</f>
        <v>0.12996860486035955</v>
      </c>
      <c r="BG104">
        <f>EXP(Foglio1!$C14-Foglio1!$D14/(Foglio1!$E14+Foglio2!BG$89))*Foglio2!BG94/Foglio1!$D$5</f>
        <v>0.12996858179919218</v>
      </c>
      <c r="BH104">
        <f>EXP(Foglio1!$C14-Foglio1!$D14/(Foglio1!$E14+Foglio2!BH$89))*Foglio2!BH94/Foglio1!$D$5</f>
        <v>0.12996857026860958</v>
      </c>
      <c r="BI104">
        <f>EXP(Foglio1!$C14-Foglio1!$D14/(Foglio1!$E14+Foglio2!BI$89))*Foglio2!BI94/Foglio1!$D$5</f>
        <v>0.12996856450331865</v>
      </c>
      <c r="BJ104">
        <f>EXP(Foglio1!$C14-Foglio1!$D14/(Foglio1!$E14+Foglio2!BJ$89))*Foglio2!BJ94/Foglio1!$D$5</f>
        <v>0.12996856162067327</v>
      </c>
      <c r="BK104">
        <f>EXP(Foglio1!$C14-Foglio1!$D14/(Foglio1!$E14+Foglio2!BK$89))*Foglio2!BK94/Foglio1!$D$5</f>
        <v>0.12996856306199589</v>
      </c>
      <c r="BL104">
        <f>EXP(Foglio1!$C14-Foglio1!$D14/(Foglio1!$E14+Foglio2!BL$89))*Foglio2!BL94/Foglio1!$D$5</f>
        <v>0.12996856378265728</v>
      </c>
      <c r="BM104">
        <f>EXP(Foglio1!$C14-Foglio1!$D14/(Foglio1!$E14+Foglio2!BM$89))*Foglio2!BM94/Foglio1!$D$5</f>
        <v>0.12996856414298805</v>
      </c>
      <c r="BN104">
        <f>EXP(Foglio1!$C14-Foglio1!$D14/(Foglio1!$E14+Foglio2!BN$89))*Foglio2!BN94/Foglio1!$D$5</f>
        <v>0.12996856396282264</v>
      </c>
      <c r="BO104">
        <f>EXP(Foglio1!$C14-Foglio1!$D14/(Foglio1!$E14+Foglio2!BO$89))*Foglio2!BO94/Foglio1!$D$5</f>
        <v>0.12996856387273995</v>
      </c>
      <c r="BP104">
        <f>EXP(Foglio1!$C14-Foglio1!$D14/(Foglio1!$E14+Foglio2!BP$89))*Foglio2!BP94/Foglio1!$D$5</f>
        <v>0.12996856382769884</v>
      </c>
      <c r="BQ104">
        <f>EXP(Foglio1!$C14-Foglio1!$D14/(Foglio1!$E14+Foglio2!BQ$89))*Foglio2!BQ94/Foglio1!$D$5</f>
        <v>0.12996856380517799</v>
      </c>
      <c r="BR104">
        <f>EXP(Foglio1!$C14-Foglio1!$D14/(Foglio1!$E14+Foglio2!BR$89))*Foglio2!BR94/Foglio1!$D$5</f>
        <v>0.12996856381643837</v>
      </c>
      <c r="BS104">
        <f>EXP(Foglio1!$C14-Foglio1!$D14/(Foglio1!$E14+Foglio2!BS$89))*Foglio2!BS94/Foglio1!$D$5</f>
        <v>0.12996856381080812</v>
      </c>
      <c r="BT104">
        <f>EXP(Foglio1!$C14-Foglio1!$D14/(Foglio1!$E14+Foglio2!BT$89))*Foglio2!BT94/Foglio1!$D$5</f>
        <v>0.12996856381362323</v>
      </c>
      <c r="BU104">
        <f>EXP(Foglio1!$C14-Foglio1!$D14/(Foglio1!$E14+Foglio2!BU$89))*Foglio2!BU94/Foglio1!$D$5</f>
        <v>0.12996856381221561</v>
      </c>
      <c r="BV104">
        <f>EXP(Foglio1!$C14-Foglio1!$D14/(Foglio1!$E14+Foglio2!BV$89))*Foglio2!BV94/Foglio1!$D$5</f>
        <v>0.12996856381151184</v>
      </c>
      <c r="BW104">
        <f>EXP(Foglio1!$C14-Foglio1!$D14/(Foglio1!$E14+Foglio2!BW$89))*Foglio2!BW94/Foglio1!$D$5</f>
        <v>0.12996856381186389</v>
      </c>
      <c r="BX104">
        <f>EXP(Foglio1!$C14-Foglio1!$D14/(Foglio1!$E14+Foglio2!BX$89))*Foglio2!BX94/Foglio1!$D$5</f>
        <v>0.12996856381168786</v>
      </c>
      <c r="BY104">
        <f>EXP(Foglio1!$C14-Foglio1!$D14/(Foglio1!$E14+Foglio2!BY$89))*Foglio2!BY94/Foglio1!$D$5</f>
        <v>0.12996856381177593</v>
      </c>
      <c r="BZ104">
        <f>EXP(Foglio1!$C14-Foglio1!$D14/(Foglio1!$E14+Foglio2!BZ$89))*Foglio2!BZ94/Foglio1!$D$5</f>
        <v>0.12996856381181981</v>
      </c>
      <c r="CA104">
        <f>EXP(Foglio1!$C14-Foglio1!$D14/(Foglio1!$E14+Foglio2!CA$89))*Foglio2!CA94/Foglio1!$D$5</f>
        <v>0.129968563811798</v>
      </c>
      <c r="CB104">
        <f>EXP(Foglio1!$C14-Foglio1!$D14/(Foglio1!$E14+Foglio2!CB$89))*Foglio2!CB94/Foglio1!$D$5</f>
        <v>0.12996856381180893</v>
      </c>
      <c r="CC104">
        <f>EXP(Foglio1!$C14-Foglio1!$D14/(Foglio1!$E14+Foglio2!CC$89))*Foglio2!CC94/Foglio1!$D$5</f>
        <v>0.12996856381181437</v>
      </c>
      <c r="CD104">
        <f>EXP(Foglio1!$C14-Foglio1!$D14/(Foglio1!$E14+Foglio2!CD$89))*Foglio2!CD94/Foglio1!$D$5</f>
        <v>0.12996856381181149</v>
      </c>
      <c r="CE104">
        <f>EXP(Foglio1!$C14-Foglio1!$D14/(Foglio1!$E14+Foglio2!CE$89))*Foglio2!CE94/Foglio1!$D$5</f>
        <v>0.1299685638118131</v>
      </c>
      <c r="CF104">
        <f>EXP(Foglio1!$C14-Foglio1!$D14/(Foglio1!$E14+Foglio2!CF$89))*Foglio2!CF94/Foglio1!$D$5</f>
        <v>0.12996856381181232</v>
      </c>
    </row>
    <row r="105" spans="34:84" x14ac:dyDescent="0.25">
      <c r="AH105" t="s">
        <v>71</v>
      </c>
      <c r="AI105">
        <f>EXP(Foglio1!$C15-Foglio1!$D15/(Foglio1!$E15+Foglio2!AI$89))*Foglio2!AI95/Foglio1!$D$5</f>
        <v>0</v>
      </c>
      <c r="AJ105">
        <f>EXP(Foglio1!$C15-Foglio1!$D15/(Foglio1!$E15+Foglio2!AJ$89))*Foglio2!AJ95/Foglio1!$D$5</f>
        <v>0</v>
      </c>
      <c r="AK105">
        <f>EXP(Foglio1!$C15-Foglio1!$D15/(Foglio1!$E15+Foglio2!AK$89))*Foglio2!AK95/Foglio1!$D$5</f>
        <v>0</v>
      </c>
      <c r="AL105">
        <f>EXP(Foglio1!$C15-Foglio1!$D15/(Foglio1!$E15+Foglio2!AL$89))*Foglio2!AL95/Foglio1!$D$5</f>
        <v>0</v>
      </c>
      <c r="AM105">
        <f>EXP(Foglio1!$C15-Foglio1!$D15/(Foglio1!$E15+Foglio2!AM$89))*Foglio2!AM95/Foglio1!$D$5</f>
        <v>0</v>
      </c>
      <c r="AN105">
        <f>EXP(Foglio1!$C15-Foglio1!$D15/(Foglio1!$E15+Foglio2!AN$89))*Foglio2!AN95/Foglio1!$D$5</f>
        <v>0</v>
      </c>
      <c r="AO105">
        <f>EXP(Foglio1!$C15-Foglio1!$D15/(Foglio1!$E15+Foglio2!AO$89))*Foglio2!AO95/Foglio1!$D$5</f>
        <v>0</v>
      </c>
      <c r="AP105">
        <f>EXP(Foglio1!$C15-Foglio1!$D15/(Foglio1!$E15+Foglio2!AP$89))*Foglio2!AP95/Foglio1!$D$5</f>
        <v>0</v>
      </c>
      <c r="AQ105">
        <f>EXP(Foglio1!$C15-Foglio1!$D15/(Foglio1!$E15+Foglio2!AQ$89))*Foglio2!AQ95/Foglio1!$D$5</f>
        <v>0</v>
      </c>
      <c r="AR105">
        <f>EXP(Foglio1!$C15-Foglio1!$D15/(Foglio1!$E15+Foglio2!AR$89))*Foglio2!AR95/Foglio1!$D$5</f>
        <v>0</v>
      </c>
      <c r="AS105">
        <f>EXP(Foglio1!$C15-Foglio1!$D15/(Foglio1!$E15+Foglio2!AS$89))*Foglio2!AS95/Foglio1!$D$5</f>
        <v>0</v>
      </c>
      <c r="AT105">
        <f>EXP(Foglio1!$C15-Foglio1!$D15/(Foglio1!$E15+Foglio2!AT$89))*Foglio2!AT95/Foglio1!$D$5</f>
        <v>0</v>
      </c>
      <c r="AU105">
        <f>EXP(Foglio1!$C15-Foglio1!$D15/(Foglio1!$E15+Foglio2!AU$89))*Foglio2!AU95/Foglio1!$D$5</f>
        <v>0</v>
      </c>
      <c r="AV105">
        <f>EXP(Foglio1!$C15-Foglio1!$D15/(Foglio1!$E15+Foglio2!AV$89))*Foglio2!AV95/Foglio1!$D$5</f>
        <v>0</v>
      </c>
      <c r="AW105">
        <f>EXP(Foglio1!$C15-Foglio1!$D15/(Foglio1!$E15+Foglio2!AW$89))*Foglio2!AW95/Foglio1!$D$5</f>
        <v>0</v>
      </c>
      <c r="AX105">
        <f>EXP(Foglio1!$C15-Foglio1!$D15/(Foglio1!$E15+Foglio2!AX$89))*Foglio2!AX95/Foglio1!$D$5</f>
        <v>0</v>
      </c>
      <c r="AY105">
        <f>EXP(Foglio1!$C15-Foglio1!$D15/(Foglio1!$E15+Foglio2!AY$89))*Foglio2!AY95/Foglio1!$D$5</f>
        <v>0</v>
      </c>
      <c r="AZ105">
        <f>EXP(Foglio1!$C15-Foglio1!$D15/(Foglio1!$E15+Foglio2!AZ$89))*Foglio2!AZ95/Foglio1!$D$5</f>
        <v>0</v>
      </c>
      <c r="BA105">
        <f>EXP(Foglio1!$C15-Foglio1!$D15/(Foglio1!$E15+Foglio2!BA$89))*Foglio2!BA95/Foglio1!$D$5</f>
        <v>0</v>
      </c>
      <c r="BB105">
        <f>EXP(Foglio1!$C15-Foglio1!$D15/(Foglio1!$E15+Foglio2!BB$89))*Foglio2!BB95/Foglio1!$D$5</f>
        <v>0</v>
      </c>
      <c r="BC105">
        <f>EXP(Foglio1!$C15-Foglio1!$D15/(Foglio1!$E15+Foglio2!BC$89))*Foglio2!BC95/Foglio1!$D$5</f>
        <v>0</v>
      </c>
      <c r="BD105">
        <f>EXP(Foglio1!$C15-Foglio1!$D15/(Foglio1!$E15+Foglio2!BD$89))*Foglio2!BD95/Foglio1!$D$5</f>
        <v>0</v>
      </c>
      <c r="BE105">
        <f>EXP(Foglio1!$C15-Foglio1!$D15/(Foglio1!$E15+Foglio2!BE$89))*Foglio2!BE95/Foglio1!$D$5</f>
        <v>0</v>
      </c>
      <c r="BF105">
        <f>EXP(Foglio1!$C15-Foglio1!$D15/(Foglio1!$E15+Foglio2!BF$89))*Foglio2!BF95/Foglio1!$D$5</f>
        <v>0</v>
      </c>
      <c r="BG105">
        <f>EXP(Foglio1!$C15-Foglio1!$D15/(Foglio1!$E15+Foglio2!BG$89))*Foglio2!BG95/Foglio1!$D$5</f>
        <v>0</v>
      </c>
      <c r="BH105">
        <f>EXP(Foglio1!$C15-Foglio1!$D15/(Foglio1!$E15+Foglio2!BH$89))*Foglio2!BH95/Foglio1!$D$5</f>
        <v>0</v>
      </c>
      <c r="BI105">
        <f>EXP(Foglio1!$C15-Foglio1!$D15/(Foglio1!$E15+Foglio2!BI$89))*Foglio2!BI95/Foglio1!$D$5</f>
        <v>0</v>
      </c>
      <c r="BJ105">
        <f>EXP(Foglio1!$C15-Foglio1!$D15/(Foglio1!$E15+Foglio2!BJ$89))*Foglio2!BJ95/Foglio1!$D$5</f>
        <v>0</v>
      </c>
      <c r="BK105">
        <f>EXP(Foglio1!$C15-Foglio1!$D15/(Foglio1!$E15+Foglio2!BK$89))*Foglio2!BK95/Foglio1!$D$5</f>
        <v>0</v>
      </c>
      <c r="BL105">
        <f>EXP(Foglio1!$C15-Foglio1!$D15/(Foglio1!$E15+Foglio2!BL$89))*Foglio2!BL95/Foglio1!$D$5</f>
        <v>0</v>
      </c>
      <c r="BM105">
        <f>EXP(Foglio1!$C15-Foglio1!$D15/(Foglio1!$E15+Foglio2!BM$89))*Foglio2!BM95/Foglio1!$D$5</f>
        <v>0</v>
      </c>
      <c r="BN105">
        <f>EXP(Foglio1!$C15-Foglio1!$D15/(Foglio1!$E15+Foglio2!BN$89))*Foglio2!BN95/Foglio1!$D$5</f>
        <v>0</v>
      </c>
      <c r="BO105">
        <f>EXP(Foglio1!$C15-Foglio1!$D15/(Foglio1!$E15+Foglio2!BO$89))*Foglio2!BO95/Foglio1!$D$5</f>
        <v>0</v>
      </c>
      <c r="BP105">
        <f>EXP(Foglio1!$C15-Foglio1!$D15/(Foglio1!$E15+Foglio2!BP$89))*Foglio2!BP95/Foglio1!$D$5</f>
        <v>0</v>
      </c>
      <c r="BQ105">
        <f>EXP(Foglio1!$C15-Foglio1!$D15/(Foglio1!$E15+Foglio2!BQ$89))*Foglio2!BQ95/Foglio1!$D$5</f>
        <v>0</v>
      </c>
      <c r="BR105">
        <f>EXP(Foglio1!$C15-Foglio1!$D15/(Foglio1!$E15+Foglio2!BR$89))*Foglio2!BR95/Foglio1!$D$5</f>
        <v>0</v>
      </c>
      <c r="BS105">
        <f>EXP(Foglio1!$C15-Foglio1!$D15/(Foglio1!$E15+Foglio2!BS$89))*Foglio2!BS95/Foglio1!$D$5</f>
        <v>0</v>
      </c>
      <c r="BT105">
        <f>EXP(Foglio1!$C15-Foglio1!$D15/(Foglio1!$E15+Foglio2!BT$89))*Foglio2!BT95/Foglio1!$D$5</f>
        <v>0</v>
      </c>
      <c r="BU105">
        <f>EXP(Foglio1!$C15-Foglio1!$D15/(Foglio1!$E15+Foglio2!BU$89))*Foglio2!BU95/Foglio1!$D$5</f>
        <v>0</v>
      </c>
      <c r="BV105">
        <f>EXP(Foglio1!$C15-Foglio1!$D15/(Foglio1!$E15+Foglio2!BV$89))*Foglio2!BV95/Foglio1!$D$5</f>
        <v>0</v>
      </c>
      <c r="BW105">
        <f>EXP(Foglio1!$C15-Foglio1!$D15/(Foglio1!$E15+Foglio2!BW$89))*Foglio2!BW95/Foglio1!$D$5</f>
        <v>0</v>
      </c>
      <c r="BX105">
        <f>EXP(Foglio1!$C15-Foglio1!$D15/(Foglio1!$E15+Foglio2!BX$89))*Foglio2!BX95/Foglio1!$D$5</f>
        <v>0</v>
      </c>
      <c r="BY105">
        <f>EXP(Foglio1!$C15-Foglio1!$D15/(Foglio1!$E15+Foglio2!BY$89))*Foglio2!BY95/Foglio1!$D$5</f>
        <v>0</v>
      </c>
      <c r="BZ105">
        <f>EXP(Foglio1!$C15-Foglio1!$D15/(Foglio1!$E15+Foglio2!BZ$89))*Foglio2!BZ95/Foglio1!$D$5</f>
        <v>0</v>
      </c>
      <c r="CA105">
        <f>EXP(Foglio1!$C15-Foglio1!$D15/(Foglio1!$E15+Foglio2!CA$89))*Foglio2!CA95/Foglio1!$D$5</f>
        <v>0</v>
      </c>
      <c r="CB105">
        <f>EXP(Foglio1!$C15-Foglio1!$D15/(Foglio1!$E15+Foglio2!CB$89))*Foglio2!CB95/Foglio1!$D$5</f>
        <v>0</v>
      </c>
      <c r="CC105">
        <f>EXP(Foglio1!$C15-Foglio1!$D15/(Foglio1!$E15+Foglio2!CC$89))*Foglio2!CC95/Foglio1!$D$5</f>
        <v>0</v>
      </c>
      <c r="CD105">
        <f>EXP(Foglio1!$C15-Foglio1!$D15/(Foglio1!$E15+Foglio2!CD$89))*Foglio2!CD95/Foglio1!$D$5</f>
        <v>0</v>
      </c>
      <c r="CE105">
        <f>EXP(Foglio1!$C15-Foglio1!$D15/(Foglio1!$E15+Foglio2!CE$89))*Foglio2!CE95/Foglio1!$D$5</f>
        <v>0</v>
      </c>
      <c r="CF105">
        <f>EXP(Foglio1!$C15-Foglio1!$D15/(Foglio1!$E15+Foglio2!CF$89))*Foglio2!CF95/Foglio1!$D$5</f>
        <v>0</v>
      </c>
    </row>
    <row r="106" spans="34:84" x14ac:dyDescent="0.25">
      <c r="AH106" t="s">
        <v>72</v>
      </c>
      <c r="AI106">
        <f>EXP(Foglio1!$C16-Foglio1!$D16/(Foglio1!$E16+Foglio2!AI$89))*Foglio2!AI96/Foglio1!$D$5</f>
        <v>0</v>
      </c>
      <c r="AJ106">
        <f>EXP(Foglio1!$C16-Foglio1!$D16/(Foglio1!$E16+Foglio2!AJ$89))*Foglio2!AJ96/Foglio1!$D$5</f>
        <v>0</v>
      </c>
      <c r="AK106">
        <f>EXP(Foglio1!$C16-Foglio1!$D16/(Foglio1!$E16+Foglio2!AK$89))*Foglio2!AK96/Foglio1!$D$5</f>
        <v>0</v>
      </c>
      <c r="AL106">
        <f>EXP(Foglio1!$C16-Foglio1!$D16/(Foglio1!$E16+Foglio2!AL$89))*Foglio2!AL96/Foglio1!$D$5</f>
        <v>0</v>
      </c>
      <c r="AM106">
        <f>EXP(Foglio1!$C16-Foglio1!$D16/(Foglio1!$E16+Foglio2!AM$89))*Foglio2!AM96/Foglio1!$D$5</f>
        <v>0</v>
      </c>
      <c r="AN106">
        <f>EXP(Foglio1!$C16-Foglio1!$D16/(Foglio1!$E16+Foglio2!AN$89))*Foglio2!AN96/Foglio1!$D$5</f>
        <v>0</v>
      </c>
      <c r="AO106">
        <f>EXP(Foglio1!$C16-Foglio1!$D16/(Foglio1!$E16+Foglio2!AO$89))*Foglio2!AO96/Foglio1!$D$5</f>
        <v>0</v>
      </c>
      <c r="AP106">
        <f>EXP(Foglio1!$C16-Foglio1!$D16/(Foglio1!$E16+Foglio2!AP$89))*Foglio2!AP96/Foglio1!$D$5</f>
        <v>0</v>
      </c>
      <c r="AQ106">
        <f>EXP(Foglio1!$C16-Foglio1!$D16/(Foglio1!$E16+Foglio2!AQ$89))*Foglio2!AQ96/Foglio1!$D$5</f>
        <v>0</v>
      </c>
      <c r="AR106">
        <f>EXP(Foglio1!$C16-Foglio1!$D16/(Foglio1!$E16+Foglio2!AR$89))*Foglio2!AR96/Foglio1!$D$5</f>
        <v>0</v>
      </c>
      <c r="AS106">
        <f>EXP(Foglio1!$C16-Foglio1!$D16/(Foglio1!$E16+Foglio2!AS$89))*Foglio2!AS96/Foglio1!$D$5</f>
        <v>0</v>
      </c>
      <c r="AT106">
        <f>EXP(Foglio1!$C16-Foglio1!$D16/(Foglio1!$E16+Foglio2!AT$89))*Foglio2!AT96/Foglio1!$D$5</f>
        <v>0</v>
      </c>
      <c r="AU106">
        <f>EXP(Foglio1!$C16-Foglio1!$D16/(Foglio1!$E16+Foglio2!AU$89))*Foglio2!AU96/Foglio1!$D$5</f>
        <v>0</v>
      </c>
      <c r="AV106">
        <f>EXP(Foglio1!$C16-Foglio1!$D16/(Foglio1!$E16+Foglio2!AV$89))*Foglio2!AV96/Foglio1!$D$5</f>
        <v>0</v>
      </c>
      <c r="AW106">
        <f>EXP(Foglio1!$C16-Foglio1!$D16/(Foglio1!$E16+Foglio2!AW$89))*Foglio2!AW96/Foglio1!$D$5</f>
        <v>0</v>
      </c>
      <c r="AX106">
        <f>EXP(Foglio1!$C16-Foglio1!$D16/(Foglio1!$E16+Foglio2!AX$89))*Foglio2!AX96/Foglio1!$D$5</f>
        <v>0</v>
      </c>
      <c r="AY106">
        <f>EXP(Foglio1!$C16-Foglio1!$D16/(Foglio1!$E16+Foglio2!AY$89))*Foglio2!AY96/Foglio1!$D$5</f>
        <v>0</v>
      </c>
      <c r="AZ106">
        <f>EXP(Foglio1!$C16-Foglio1!$D16/(Foglio1!$E16+Foglio2!AZ$89))*Foglio2!AZ96/Foglio1!$D$5</f>
        <v>0</v>
      </c>
      <c r="BA106">
        <f>EXP(Foglio1!$C16-Foglio1!$D16/(Foglio1!$E16+Foglio2!BA$89))*Foglio2!BA96/Foglio1!$D$5</f>
        <v>0</v>
      </c>
      <c r="BB106">
        <f>EXP(Foglio1!$C16-Foglio1!$D16/(Foglio1!$E16+Foglio2!BB$89))*Foglio2!BB96/Foglio1!$D$5</f>
        <v>0</v>
      </c>
      <c r="BC106">
        <f>EXP(Foglio1!$C16-Foglio1!$D16/(Foglio1!$E16+Foglio2!BC$89))*Foglio2!BC96/Foglio1!$D$5</f>
        <v>0</v>
      </c>
      <c r="BD106">
        <f>EXP(Foglio1!$C16-Foglio1!$D16/(Foglio1!$E16+Foglio2!BD$89))*Foglio2!BD96/Foglio1!$D$5</f>
        <v>0</v>
      </c>
      <c r="BE106">
        <f>EXP(Foglio1!$C16-Foglio1!$D16/(Foglio1!$E16+Foglio2!BE$89))*Foglio2!BE96/Foglio1!$D$5</f>
        <v>0</v>
      </c>
      <c r="BF106">
        <f>EXP(Foglio1!$C16-Foglio1!$D16/(Foglio1!$E16+Foglio2!BF$89))*Foglio2!BF96/Foglio1!$D$5</f>
        <v>0</v>
      </c>
      <c r="BG106">
        <f>EXP(Foglio1!$C16-Foglio1!$D16/(Foglio1!$E16+Foglio2!BG$89))*Foglio2!BG96/Foglio1!$D$5</f>
        <v>0</v>
      </c>
      <c r="BH106">
        <f>EXP(Foglio1!$C16-Foglio1!$D16/(Foglio1!$E16+Foglio2!BH$89))*Foglio2!BH96/Foglio1!$D$5</f>
        <v>0</v>
      </c>
      <c r="BI106">
        <f>EXP(Foglio1!$C16-Foglio1!$D16/(Foglio1!$E16+Foglio2!BI$89))*Foglio2!BI96/Foglio1!$D$5</f>
        <v>0</v>
      </c>
      <c r="BJ106">
        <f>EXP(Foglio1!$C16-Foglio1!$D16/(Foglio1!$E16+Foglio2!BJ$89))*Foglio2!BJ96/Foglio1!$D$5</f>
        <v>0</v>
      </c>
      <c r="BK106">
        <f>EXP(Foglio1!$C16-Foglio1!$D16/(Foglio1!$E16+Foglio2!BK$89))*Foglio2!BK96/Foglio1!$D$5</f>
        <v>0</v>
      </c>
      <c r="BL106">
        <f>EXP(Foglio1!$C16-Foglio1!$D16/(Foglio1!$E16+Foglio2!BL$89))*Foglio2!BL96/Foglio1!$D$5</f>
        <v>0</v>
      </c>
      <c r="BM106">
        <f>EXP(Foglio1!$C16-Foglio1!$D16/(Foglio1!$E16+Foglio2!BM$89))*Foglio2!BM96/Foglio1!$D$5</f>
        <v>0</v>
      </c>
      <c r="BN106">
        <f>EXP(Foglio1!$C16-Foglio1!$D16/(Foglio1!$E16+Foglio2!BN$89))*Foglio2!BN96/Foglio1!$D$5</f>
        <v>0</v>
      </c>
      <c r="BO106">
        <f>EXP(Foglio1!$C16-Foglio1!$D16/(Foglio1!$E16+Foglio2!BO$89))*Foglio2!BO96/Foglio1!$D$5</f>
        <v>0</v>
      </c>
      <c r="BP106">
        <f>EXP(Foglio1!$C16-Foglio1!$D16/(Foglio1!$E16+Foglio2!BP$89))*Foglio2!BP96/Foglio1!$D$5</f>
        <v>0</v>
      </c>
      <c r="BQ106">
        <f>EXP(Foglio1!$C16-Foglio1!$D16/(Foglio1!$E16+Foglio2!BQ$89))*Foglio2!BQ96/Foglio1!$D$5</f>
        <v>0</v>
      </c>
      <c r="BR106">
        <f>EXP(Foglio1!$C16-Foglio1!$D16/(Foglio1!$E16+Foglio2!BR$89))*Foglio2!BR96/Foglio1!$D$5</f>
        <v>0</v>
      </c>
      <c r="BS106">
        <f>EXP(Foglio1!$C16-Foglio1!$D16/(Foglio1!$E16+Foglio2!BS$89))*Foglio2!BS96/Foglio1!$D$5</f>
        <v>0</v>
      </c>
      <c r="BT106">
        <f>EXP(Foglio1!$C16-Foglio1!$D16/(Foglio1!$E16+Foglio2!BT$89))*Foglio2!BT96/Foglio1!$D$5</f>
        <v>0</v>
      </c>
      <c r="BU106">
        <f>EXP(Foglio1!$C16-Foglio1!$D16/(Foglio1!$E16+Foglio2!BU$89))*Foglio2!BU96/Foglio1!$D$5</f>
        <v>0</v>
      </c>
      <c r="BV106">
        <f>EXP(Foglio1!$C16-Foglio1!$D16/(Foglio1!$E16+Foglio2!BV$89))*Foglio2!BV96/Foglio1!$D$5</f>
        <v>0</v>
      </c>
      <c r="BW106">
        <f>EXP(Foglio1!$C16-Foglio1!$D16/(Foglio1!$E16+Foglio2!BW$89))*Foglio2!BW96/Foglio1!$D$5</f>
        <v>0</v>
      </c>
      <c r="BX106">
        <f>EXP(Foglio1!$C16-Foglio1!$D16/(Foglio1!$E16+Foglio2!BX$89))*Foglio2!BX96/Foglio1!$D$5</f>
        <v>0</v>
      </c>
      <c r="BY106">
        <f>EXP(Foglio1!$C16-Foglio1!$D16/(Foglio1!$E16+Foglio2!BY$89))*Foglio2!BY96/Foglio1!$D$5</f>
        <v>0</v>
      </c>
      <c r="BZ106">
        <f>EXP(Foglio1!$C16-Foglio1!$D16/(Foglio1!$E16+Foglio2!BZ$89))*Foglio2!BZ96/Foglio1!$D$5</f>
        <v>0</v>
      </c>
      <c r="CA106">
        <f>EXP(Foglio1!$C16-Foglio1!$D16/(Foglio1!$E16+Foglio2!CA$89))*Foglio2!CA96/Foglio1!$D$5</f>
        <v>0</v>
      </c>
      <c r="CB106">
        <f>EXP(Foglio1!$C16-Foglio1!$D16/(Foglio1!$E16+Foglio2!CB$89))*Foglio2!CB96/Foglio1!$D$5</f>
        <v>0</v>
      </c>
      <c r="CC106">
        <f>EXP(Foglio1!$C16-Foglio1!$D16/(Foglio1!$E16+Foglio2!CC$89))*Foglio2!CC96/Foglio1!$D$5</f>
        <v>0</v>
      </c>
      <c r="CD106">
        <f>EXP(Foglio1!$C16-Foglio1!$D16/(Foglio1!$E16+Foglio2!CD$89))*Foglio2!CD96/Foglio1!$D$5</f>
        <v>0</v>
      </c>
      <c r="CE106">
        <f>EXP(Foglio1!$C16-Foglio1!$D16/(Foglio1!$E16+Foglio2!CE$89))*Foglio2!CE96/Foglio1!$D$5</f>
        <v>0</v>
      </c>
      <c r="CF106">
        <f>EXP(Foglio1!$C16-Foglio1!$D16/(Foglio1!$E16+Foglio2!CF$89))*Foglio2!CF96/Foglio1!$D$5</f>
        <v>0</v>
      </c>
    </row>
    <row r="107" spans="34:84" x14ac:dyDescent="0.25">
      <c r="AH107" t="s">
        <v>74</v>
      </c>
      <c r="AI107">
        <f>EXP(Foglio1!$C17-Foglio1!$D17/(Foglio1!$E17+Foglio2!AI$89))*Foglio2!AI97/Foglio1!$D$5</f>
        <v>0</v>
      </c>
      <c r="AJ107">
        <f>EXP(Foglio1!$C17-Foglio1!$D17/(Foglio1!$E17+Foglio2!AJ$89))*Foglio2!AJ97/Foglio1!$D$5</f>
        <v>0</v>
      </c>
      <c r="AK107">
        <f>EXP(Foglio1!$C17-Foglio1!$D17/(Foglio1!$E17+Foglio2!AK$89))*Foglio2!AK97/Foglio1!$D$5</f>
        <v>0</v>
      </c>
      <c r="AL107">
        <f>EXP(Foglio1!$C17-Foglio1!$D17/(Foglio1!$E17+Foglio2!AL$89))*Foglio2!AL97/Foglio1!$D$5</f>
        <v>0</v>
      </c>
      <c r="AM107">
        <f>EXP(Foglio1!$C17-Foglio1!$D17/(Foglio1!$E17+Foglio2!AM$89))*Foglio2!AM97/Foglio1!$D$5</f>
        <v>0</v>
      </c>
      <c r="AN107">
        <f>EXP(Foglio1!$C17-Foglio1!$D17/(Foglio1!$E17+Foglio2!AN$89))*Foglio2!AN97/Foglio1!$D$5</f>
        <v>0</v>
      </c>
      <c r="AO107">
        <f>EXP(Foglio1!$C17-Foglio1!$D17/(Foglio1!$E17+Foglio2!AO$89))*Foglio2!AO97/Foglio1!$D$5</f>
        <v>0</v>
      </c>
      <c r="AP107">
        <f>EXP(Foglio1!$C17-Foglio1!$D17/(Foglio1!$E17+Foglio2!AP$89))*Foglio2!AP97/Foglio1!$D$5</f>
        <v>0</v>
      </c>
      <c r="AQ107">
        <f>EXP(Foglio1!$C17-Foglio1!$D17/(Foglio1!$E17+Foglio2!AQ$89))*Foglio2!AQ97/Foglio1!$D$5</f>
        <v>0</v>
      </c>
      <c r="AR107">
        <f>EXP(Foglio1!$C17-Foglio1!$D17/(Foglio1!$E17+Foglio2!AR$89))*Foglio2!AR97/Foglio1!$D$5</f>
        <v>0</v>
      </c>
      <c r="AS107">
        <f>EXP(Foglio1!$C17-Foglio1!$D17/(Foglio1!$E17+Foglio2!AS$89))*Foglio2!AS97/Foglio1!$D$5</f>
        <v>0</v>
      </c>
      <c r="AT107">
        <f>EXP(Foglio1!$C17-Foglio1!$D17/(Foglio1!$E17+Foglio2!AT$89))*Foglio2!AT97/Foglio1!$D$5</f>
        <v>0</v>
      </c>
      <c r="AU107">
        <f>EXP(Foglio1!$C17-Foglio1!$D17/(Foglio1!$E17+Foglio2!AU$89))*Foglio2!AU97/Foglio1!$D$5</f>
        <v>0</v>
      </c>
      <c r="AV107">
        <f>EXP(Foglio1!$C17-Foglio1!$D17/(Foglio1!$E17+Foglio2!AV$89))*Foglio2!AV97/Foglio1!$D$5</f>
        <v>0</v>
      </c>
      <c r="AW107">
        <f>EXP(Foglio1!$C17-Foglio1!$D17/(Foglio1!$E17+Foglio2!AW$89))*Foglio2!AW97/Foglio1!$D$5</f>
        <v>0</v>
      </c>
      <c r="AX107">
        <f>EXP(Foglio1!$C17-Foglio1!$D17/(Foglio1!$E17+Foglio2!AX$89))*Foglio2!AX97/Foglio1!$D$5</f>
        <v>0</v>
      </c>
      <c r="AY107">
        <f>EXP(Foglio1!$C17-Foglio1!$D17/(Foglio1!$E17+Foglio2!AY$89))*Foglio2!AY97/Foglio1!$D$5</f>
        <v>0</v>
      </c>
      <c r="AZ107">
        <f>EXP(Foglio1!$C17-Foglio1!$D17/(Foglio1!$E17+Foglio2!AZ$89))*Foglio2!AZ97/Foglio1!$D$5</f>
        <v>0</v>
      </c>
      <c r="BA107">
        <f>EXP(Foglio1!$C17-Foglio1!$D17/(Foglio1!$E17+Foglio2!BA$89))*Foglio2!BA97/Foglio1!$D$5</f>
        <v>0</v>
      </c>
      <c r="BB107">
        <f>EXP(Foglio1!$C17-Foglio1!$D17/(Foglio1!$E17+Foglio2!BB$89))*Foglio2!BB97/Foglio1!$D$5</f>
        <v>0</v>
      </c>
      <c r="BC107">
        <f>EXP(Foglio1!$C17-Foglio1!$D17/(Foglio1!$E17+Foglio2!BC$89))*Foglio2!BC97/Foglio1!$D$5</f>
        <v>0</v>
      </c>
      <c r="BD107">
        <f>EXP(Foglio1!$C17-Foglio1!$D17/(Foglio1!$E17+Foglio2!BD$89))*Foglio2!BD97/Foglio1!$D$5</f>
        <v>0</v>
      </c>
      <c r="BE107">
        <f>EXP(Foglio1!$C17-Foglio1!$D17/(Foglio1!$E17+Foglio2!BE$89))*Foglio2!BE97/Foglio1!$D$5</f>
        <v>0</v>
      </c>
      <c r="BF107">
        <f>EXP(Foglio1!$C17-Foglio1!$D17/(Foglio1!$E17+Foglio2!BF$89))*Foglio2!BF97/Foglio1!$D$5</f>
        <v>0</v>
      </c>
      <c r="BG107">
        <f>EXP(Foglio1!$C17-Foglio1!$D17/(Foglio1!$E17+Foglio2!BG$89))*Foglio2!BG97/Foglio1!$D$5</f>
        <v>0</v>
      </c>
      <c r="BH107">
        <f>EXP(Foglio1!$C17-Foglio1!$D17/(Foglio1!$E17+Foglio2!BH$89))*Foglio2!BH97/Foglio1!$D$5</f>
        <v>0</v>
      </c>
      <c r="BI107">
        <f>EXP(Foglio1!$C17-Foglio1!$D17/(Foglio1!$E17+Foglio2!BI$89))*Foglio2!BI97/Foglio1!$D$5</f>
        <v>0</v>
      </c>
      <c r="BJ107">
        <f>EXP(Foglio1!$C17-Foglio1!$D17/(Foglio1!$E17+Foglio2!BJ$89))*Foglio2!BJ97/Foglio1!$D$5</f>
        <v>0</v>
      </c>
      <c r="BK107">
        <f>EXP(Foglio1!$C17-Foglio1!$D17/(Foglio1!$E17+Foglio2!BK$89))*Foglio2!BK97/Foglio1!$D$5</f>
        <v>0</v>
      </c>
      <c r="BL107">
        <f>EXP(Foglio1!$C17-Foglio1!$D17/(Foglio1!$E17+Foglio2!BL$89))*Foglio2!BL97/Foglio1!$D$5</f>
        <v>0</v>
      </c>
      <c r="BM107">
        <f>EXP(Foglio1!$C17-Foglio1!$D17/(Foglio1!$E17+Foglio2!BM$89))*Foglio2!BM97/Foglio1!$D$5</f>
        <v>0</v>
      </c>
      <c r="BN107">
        <f>EXP(Foglio1!$C17-Foglio1!$D17/(Foglio1!$E17+Foglio2!BN$89))*Foglio2!BN97/Foglio1!$D$5</f>
        <v>0</v>
      </c>
      <c r="BO107">
        <f>EXP(Foglio1!$C17-Foglio1!$D17/(Foglio1!$E17+Foglio2!BO$89))*Foglio2!BO97/Foglio1!$D$5</f>
        <v>0</v>
      </c>
      <c r="BP107">
        <f>EXP(Foglio1!$C17-Foglio1!$D17/(Foglio1!$E17+Foglio2!BP$89))*Foglio2!BP97/Foglio1!$D$5</f>
        <v>0</v>
      </c>
      <c r="BQ107">
        <f>EXP(Foglio1!$C17-Foglio1!$D17/(Foglio1!$E17+Foglio2!BQ$89))*Foglio2!BQ97/Foglio1!$D$5</f>
        <v>0</v>
      </c>
      <c r="BR107">
        <f>EXP(Foglio1!$C17-Foglio1!$D17/(Foglio1!$E17+Foglio2!BR$89))*Foglio2!BR97/Foglio1!$D$5</f>
        <v>0</v>
      </c>
      <c r="BS107">
        <f>EXP(Foglio1!$C17-Foglio1!$D17/(Foglio1!$E17+Foglio2!BS$89))*Foglio2!BS97/Foglio1!$D$5</f>
        <v>0</v>
      </c>
      <c r="BT107">
        <f>EXP(Foglio1!$C17-Foglio1!$D17/(Foglio1!$E17+Foglio2!BT$89))*Foglio2!BT97/Foglio1!$D$5</f>
        <v>0</v>
      </c>
      <c r="BU107">
        <f>EXP(Foglio1!$C17-Foglio1!$D17/(Foglio1!$E17+Foglio2!BU$89))*Foglio2!BU97/Foglio1!$D$5</f>
        <v>0</v>
      </c>
      <c r="BV107">
        <f>EXP(Foglio1!$C17-Foglio1!$D17/(Foglio1!$E17+Foglio2!BV$89))*Foglio2!BV97/Foglio1!$D$5</f>
        <v>0</v>
      </c>
      <c r="BW107">
        <f>EXP(Foglio1!$C17-Foglio1!$D17/(Foglio1!$E17+Foglio2!BW$89))*Foglio2!BW97/Foglio1!$D$5</f>
        <v>0</v>
      </c>
      <c r="BX107">
        <f>EXP(Foglio1!$C17-Foglio1!$D17/(Foglio1!$E17+Foglio2!BX$89))*Foglio2!BX97/Foglio1!$D$5</f>
        <v>0</v>
      </c>
      <c r="BY107">
        <f>EXP(Foglio1!$C17-Foglio1!$D17/(Foglio1!$E17+Foglio2!BY$89))*Foglio2!BY97/Foglio1!$D$5</f>
        <v>0</v>
      </c>
      <c r="BZ107">
        <f>EXP(Foglio1!$C17-Foglio1!$D17/(Foglio1!$E17+Foglio2!BZ$89))*Foglio2!BZ97/Foglio1!$D$5</f>
        <v>0</v>
      </c>
      <c r="CA107">
        <f>EXP(Foglio1!$C17-Foglio1!$D17/(Foglio1!$E17+Foglio2!CA$89))*Foglio2!CA97/Foglio1!$D$5</f>
        <v>0</v>
      </c>
      <c r="CB107">
        <f>EXP(Foglio1!$C17-Foglio1!$D17/(Foglio1!$E17+Foglio2!CB$89))*Foglio2!CB97/Foglio1!$D$5</f>
        <v>0</v>
      </c>
      <c r="CC107">
        <f>EXP(Foglio1!$C17-Foglio1!$D17/(Foglio1!$E17+Foglio2!CC$89))*Foglio2!CC97/Foglio1!$D$5</f>
        <v>0</v>
      </c>
      <c r="CD107">
        <f>EXP(Foglio1!$C17-Foglio1!$D17/(Foglio1!$E17+Foglio2!CD$89))*Foglio2!CD97/Foglio1!$D$5</f>
        <v>0</v>
      </c>
      <c r="CE107">
        <f>EXP(Foglio1!$C17-Foglio1!$D17/(Foglio1!$E17+Foglio2!CE$89))*Foglio2!CE97/Foglio1!$D$5</f>
        <v>0</v>
      </c>
      <c r="CF107">
        <f>EXP(Foglio1!$C17-Foglio1!$D17/(Foglio1!$E17+Foglio2!CF$89))*Foglio2!CF97/Foglio1!$D$5</f>
        <v>0</v>
      </c>
    </row>
    <row r="108" spans="34:84" x14ac:dyDescent="0.25">
      <c r="AH108" t="s">
        <v>73</v>
      </c>
      <c r="AI108">
        <f>EXP(Foglio1!$C18-Foglio1!$D18/(Foglio1!$E18+Foglio2!AI$89))*Foglio2!AI98/Foglio1!$D$5</f>
        <v>0</v>
      </c>
      <c r="AJ108">
        <f>EXP(Foglio1!$C18-Foglio1!$D18/(Foglio1!$E18+Foglio2!AJ$89))*Foglio2!AJ98/Foglio1!$D$5</f>
        <v>0</v>
      </c>
      <c r="AK108">
        <f>EXP(Foglio1!$C18-Foglio1!$D18/(Foglio1!$E18+Foglio2!AK$89))*Foglio2!AK98/Foglio1!$D$5</f>
        <v>0</v>
      </c>
      <c r="AL108">
        <f>EXP(Foglio1!$C18-Foglio1!$D18/(Foglio1!$E18+Foglio2!AL$89))*Foglio2!AL98/Foglio1!$D$5</f>
        <v>0</v>
      </c>
      <c r="AM108">
        <f>EXP(Foglio1!$C18-Foglio1!$D18/(Foglio1!$E18+Foglio2!AM$89))*Foglio2!AM98/Foglio1!$D$5</f>
        <v>0</v>
      </c>
      <c r="AN108">
        <f>EXP(Foglio1!$C18-Foglio1!$D18/(Foglio1!$E18+Foglio2!AN$89))*Foglio2!AN98/Foglio1!$D$5</f>
        <v>0</v>
      </c>
      <c r="AO108">
        <f>EXP(Foglio1!$C18-Foglio1!$D18/(Foglio1!$E18+Foglio2!AO$89))*Foglio2!AO98/Foglio1!$D$5</f>
        <v>0</v>
      </c>
      <c r="AP108">
        <f>EXP(Foglio1!$C18-Foglio1!$D18/(Foglio1!$E18+Foglio2!AP$89))*Foglio2!AP98/Foglio1!$D$5</f>
        <v>0</v>
      </c>
      <c r="AQ108">
        <f>EXP(Foglio1!$C18-Foglio1!$D18/(Foglio1!$E18+Foglio2!AQ$89))*Foglio2!AQ98/Foglio1!$D$5</f>
        <v>0</v>
      </c>
      <c r="AR108">
        <f>EXP(Foglio1!$C18-Foglio1!$D18/(Foglio1!$E18+Foglio2!AR$89))*Foglio2!AR98/Foglio1!$D$5</f>
        <v>0</v>
      </c>
      <c r="AS108">
        <f>EXP(Foglio1!$C18-Foglio1!$D18/(Foglio1!$E18+Foglio2!AS$89))*Foglio2!AS98/Foglio1!$D$5</f>
        <v>0</v>
      </c>
      <c r="AT108">
        <f>EXP(Foglio1!$C18-Foglio1!$D18/(Foglio1!$E18+Foglio2!AT$89))*Foglio2!AT98/Foglio1!$D$5</f>
        <v>0</v>
      </c>
      <c r="AU108">
        <f>EXP(Foglio1!$C18-Foglio1!$D18/(Foglio1!$E18+Foglio2!AU$89))*Foglio2!AU98/Foglio1!$D$5</f>
        <v>0</v>
      </c>
      <c r="AV108">
        <f>EXP(Foglio1!$C18-Foglio1!$D18/(Foglio1!$E18+Foglio2!AV$89))*Foglio2!AV98/Foglio1!$D$5</f>
        <v>0</v>
      </c>
      <c r="AW108">
        <f>EXP(Foglio1!$C18-Foglio1!$D18/(Foglio1!$E18+Foglio2!AW$89))*Foglio2!AW98/Foglio1!$D$5</f>
        <v>0</v>
      </c>
      <c r="AX108">
        <f>EXP(Foglio1!$C18-Foglio1!$D18/(Foglio1!$E18+Foglio2!AX$89))*Foglio2!AX98/Foglio1!$D$5</f>
        <v>0</v>
      </c>
      <c r="AY108">
        <f>EXP(Foglio1!$C18-Foglio1!$D18/(Foglio1!$E18+Foglio2!AY$89))*Foglio2!AY98/Foglio1!$D$5</f>
        <v>0</v>
      </c>
      <c r="AZ108">
        <f>EXP(Foglio1!$C18-Foglio1!$D18/(Foglio1!$E18+Foglio2!AZ$89))*Foglio2!AZ98/Foglio1!$D$5</f>
        <v>0</v>
      </c>
      <c r="BA108">
        <f>EXP(Foglio1!$C18-Foglio1!$D18/(Foglio1!$E18+Foglio2!BA$89))*Foglio2!BA98/Foglio1!$D$5</f>
        <v>0</v>
      </c>
      <c r="BB108">
        <f>EXP(Foglio1!$C18-Foglio1!$D18/(Foglio1!$E18+Foglio2!BB$89))*Foglio2!BB98/Foglio1!$D$5</f>
        <v>0</v>
      </c>
      <c r="BC108">
        <f>EXP(Foglio1!$C18-Foglio1!$D18/(Foglio1!$E18+Foglio2!BC$89))*Foglio2!BC98/Foglio1!$D$5</f>
        <v>0</v>
      </c>
      <c r="BD108">
        <f>EXP(Foglio1!$C18-Foglio1!$D18/(Foglio1!$E18+Foglio2!BD$89))*Foglio2!BD98/Foglio1!$D$5</f>
        <v>0</v>
      </c>
      <c r="BE108">
        <f>EXP(Foglio1!$C18-Foglio1!$D18/(Foglio1!$E18+Foglio2!BE$89))*Foglio2!BE98/Foglio1!$D$5</f>
        <v>0</v>
      </c>
      <c r="BF108">
        <f>EXP(Foglio1!$C18-Foglio1!$D18/(Foglio1!$E18+Foglio2!BF$89))*Foglio2!BF98/Foglio1!$D$5</f>
        <v>0</v>
      </c>
      <c r="BG108">
        <f>EXP(Foglio1!$C18-Foglio1!$D18/(Foglio1!$E18+Foglio2!BG$89))*Foglio2!BG98/Foglio1!$D$5</f>
        <v>0</v>
      </c>
      <c r="BH108">
        <f>EXP(Foglio1!$C18-Foglio1!$D18/(Foglio1!$E18+Foglio2!BH$89))*Foglio2!BH98/Foglio1!$D$5</f>
        <v>0</v>
      </c>
      <c r="BI108">
        <f>EXP(Foglio1!$C18-Foglio1!$D18/(Foglio1!$E18+Foglio2!BI$89))*Foglio2!BI98/Foglio1!$D$5</f>
        <v>0</v>
      </c>
      <c r="BJ108">
        <f>EXP(Foglio1!$C18-Foglio1!$D18/(Foglio1!$E18+Foglio2!BJ$89))*Foglio2!BJ98/Foglio1!$D$5</f>
        <v>0</v>
      </c>
      <c r="BK108">
        <f>EXP(Foglio1!$C18-Foglio1!$D18/(Foglio1!$E18+Foglio2!BK$89))*Foglio2!BK98/Foglio1!$D$5</f>
        <v>0</v>
      </c>
      <c r="BL108">
        <f>EXP(Foglio1!$C18-Foglio1!$D18/(Foglio1!$E18+Foglio2!BL$89))*Foglio2!BL98/Foglio1!$D$5</f>
        <v>0</v>
      </c>
      <c r="BM108">
        <f>EXP(Foglio1!$C18-Foglio1!$D18/(Foglio1!$E18+Foglio2!BM$89))*Foglio2!BM98/Foglio1!$D$5</f>
        <v>0</v>
      </c>
      <c r="BN108">
        <f>EXP(Foglio1!$C18-Foglio1!$D18/(Foglio1!$E18+Foglio2!BN$89))*Foglio2!BN98/Foglio1!$D$5</f>
        <v>0</v>
      </c>
      <c r="BO108">
        <f>EXP(Foglio1!$C18-Foglio1!$D18/(Foglio1!$E18+Foglio2!BO$89))*Foglio2!BO98/Foglio1!$D$5</f>
        <v>0</v>
      </c>
      <c r="BP108">
        <f>EXP(Foglio1!$C18-Foglio1!$D18/(Foglio1!$E18+Foglio2!BP$89))*Foglio2!BP98/Foglio1!$D$5</f>
        <v>0</v>
      </c>
      <c r="BQ108">
        <f>EXP(Foglio1!$C18-Foglio1!$D18/(Foglio1!$E18+Foglio2!BQ$89))*Foglio2!BQ98/Foglio1!$D$5</f>
        <v>0</v>
      </c>
      <c r="BR108">
        <f>EXP(Foglio1!$C18-Foglio1!$D18/(Foglio1!$E18+Foglio2!BR$89))*Foglio2!BR98/Foglio1!$D$5</f>
        <v>0</v>
      </c>
      <c r="BS108">
        <f>EXP(Foglio1!$C18-Foglio1!$D18/(Foglio1!$E18+Foglio2!BS$89))*Foglio2!BS98/Foglio1!$D$5</f>
        <v>0</v>
      </c>
      <c r="BT108">
        <f>EXP(Foglio1!$C18-Foglio1!$D18/(Foglio1!$E18+Foglio2!BT$89))*Foglio2!BT98/Foglio1!$D$5</f>
        <v>0</v>
      </c>
      <c r="BU108">
        <f>EXP(Foglio1!$C18-Foglio1!$D18/(Foglio1!$E18+Foglio2!BU$89))*Foglio2!BU98/Foglio1!$D$5</f>
        <v>0</v>
      </c>
      <c r="BV108">
        <f>EXP(Foglio1!$C18-Foglio1!$D18/(Foglio1!$E18+Foglio2!BV$89))*Foglio2!BV98/Foglio1!$D$5</f>
        <v>0</v>
      </c>
      <c r="BW108">
        <f>EXP(Foglio1!$C18-Foglio1!$D18/(Foglio1!$E18+Foglio2!BW$89))*Foglio2!BW98/Foglio1!$D$5</f>
        <v>0</v>
      </c>
      <c r="BX108">
        <f>EXP(Foglio1!$C18-Foglio1!$D18/(Foglio1!$E18+Foglio2!BX$89))*Foglio2!BX98/Foglio1!$D$5</f>
        <v>0</v>
      </c>
      <c r="BY108">
        <f>EXP(Foglio1!$C18-Foglio1!$D18/(Foglio1!$E18+Foglio2!BY$89))*Foglio2!BY98/Foglio1!$D$5</f>
        <v>0</v>
      </c>
      <c r="BZ108">
        <f>EXP(Foglio1!$C18-Foglio1!$D18/(Foglio1!$E18+Foglio2!BZ$89))*Foglio2!BZ98/Foglio1!$D$5</f>
        <v>0</v>
      </c>
      <c r="CA108">
        <f>EXP(Foglio1!$C18-Foglio1!$D18/(Foglio1!$E18+Foglio2!CA$89))*Foglio2!CA98/Foglio1!$D$5</f>
        <v>0</v>
      </c>
      <c r="CB108">
        <f>EXP(Foglio1!$C18-Foglio1!$D18/(Foglio1!$E18+Foglio2!CB$89))*Foglio2!CB98/Foglio1!$D$5</f>
        <v>0</v>
      </c>
      <c r="CC108">
        <f>EXP(Foglio1!$C18-Foglio1!$D18/(Foglio1!$E18+Foglio2!CC$89))*Foglio2!CC98/Foglio1!$D$5</f>
        <v>0</v>
      </c>
      <c r="CD108">
        <f>EXP(Foglio1!$C18-Foglio1!$D18/(Foglio1!$E18+Foglio2!CD$89))*Foglio2!CD98/Foglio1!$D$5</f>
        <v>0</v>
      </c>
      <c r="CE108">
        <f>EXP(Foglio1!$C18-Foglio1!$D18/(Foglio1!$E18+Foglio2!CE$89))*Foglio2!CE98/Foglio1!$D$5</f>
        <v>0</v>
      </c>
      <c r="CF108">
        <f>EXP(Foglio1!$C18-Foglio1!$D18/(Foglio1!$E18+Foglio2!CF$89))*Foglio2!CF98/Foglio1!$D$5</f>
        <v>0</v>
      </c>
    </row>
    <row r="109" spans="34:84" x14ac:dyDescent="0.25">
      <c r="AH109" t="s">
        <v>75</v>
      </c>
      <c r="AI109">
        <f>EXP(Foglio1!$C19-Foglio1!$D19/(Foglio1!$E19+Foglio2!AI$89))*Foglio2!AI99/Foglio1!$D$5</f>
        <v>0</v>
      </c>
      <c r="AJ109">
        <f>EXP(Foglio1!$C19-Foglio1!$D19/(Foglio1!$E19+Foglio2!AJ$89))*Foglio2!AJ99/Foglio1!$D$5</f>
        <v>0</v>
      </c>
      <c r="AK109">
        <f>EXP(Foglio1!$C19-Foglio1!$D19/(Foglio1!$E19+Foglio2!AK$89))*Foglio2!AK99/Foglio1!$D$5</f>
        <v>0</v>
      </c>
      <c r="AL109">
        <f>EXP(Foglio1!$C19-Foglio1!$D19/(Foglio1!$E19+Foglio2!AL$89))*Foglio2!AL99/Foglio1!$D$5</f>
        <v>0</v>
      </c>
      <c r="AM109">
        <f>EXP(Foglio1!$C19-Foglio1!$D19/(Foglio1!$E19+Foglio2!AM$89))*Foglio2!AM99/Foglio1!$D$5</f>
        <v>0</v>
      </c>
      <c r="AN109">
        <f>EXP(Foglio1!$C19-Foglio1!$D19/(Foglio1!$E19+Foglio2!AN$89))*Foglio2!AN99/Foglio1!$D$5</f>
        <v>0</v>
      </c>
      <c r="AO109">
        <f>EXP(Foglio1!$C19-Foglio1!$D19/(Foglio1!$E19+Foglio2!AO$89))*Foglio2!AO99/Foglio1!$D$5</f>
        <v>0</v>
      </c>
      <c r="AP109">
        <f>EXP(Foglio1!$C19-Foglio1!$D19/(Foglio1!$E19+Foglio2!AP$89))*Foglio2!AP99/Foglio1!$D$5</f>
        <v>0</v>
      </c>
      <c r="AQ109">
        <f>EXP(Foglio1!$C19-Foglio1!$D19/(Foglio1!$E19+Foglio2!AQ$89))*Foglio2!AQ99/Foglio1!$D$5</f>
        <v>0</v>
      </c>
      <c r="AR109">
        <f>EXP(Foglio1!$C19-Foglio1!$D19/(Foglio1!$E19+Foglio2!AR$89))*Foglio2!AR99/Foglio1!$D$5</f>
        <v>0</v>
      </c>
      <c r="AS109">
        <f>EXP(Foglio1!$C19-Foglio1!$D19/(Foglio1!$E19+Foglio2!AS$89))*Foglio2!AS99/Foglio1!$D$5</f>
        <v>0</v>
      </c>
      <c r="AT109">
        <f>EXP(Foglio1!$C19-Foglio1!$D19/(Foglio1!$E19+Foglio2!AT$89))*Foglio2!AT99/Foglio1!$D$5</f>
        <v>0</v>
      </c>
      <c r="AU109">
        <f>EXP(Foglio1!$C19-Foglio1!$D19/(Foglio1!$E19+Foglio2!AU$89))*Foglio2!AU99/Foglio1!$D$5</f>
        <v>0</v>
      </c>
      <c r="AV109">
        <f>EXP(Foglio1!$C19-Foglio1!$D19/(Foglio1!$E19+Foglio2!AV$89))*Foglio2!AV99/Foglio1!$D$5</f>
        <v>0</v>
      </c>
      <c r="AW109">
        <f>EXP(Foglio1!$C19-Foglio1!$D19/(Foglio1!$E19+Foglio2!AW$89))*Foglio2!AW99/Foglio1!$D$5</f>
        <v>0</v>
      </c>
      <c r="AX109">
        <f>EXP(Foglio1!$C19-Foglio1!$D19/(Foglio1!$E19+Foglio2!AX$89))*Foglio2!AX99/Foglio1!$D$5</f>
        <v>0</v>
      </c>
      <c r="AY109">
        <f>EXP(Foglio1!$C19-Foglio1!$D19/(Foglio1!$E19+Foglio2!AY$89))*Foglio2!AY99/Foglio1!$D$5</f>
        <v>0</v>
      </c>
      <c r="AZ109">
        <f>EXP(Foglio1!$C19-Foglio1!$D19/(Foglio1!$E19+Foglio2!AZ$89))*Foglio2!AZ99/Foglio1!$D$5</f>
        <v>0</v>
      </c>
      <c r="BA109">
        <f>EXP(Foglio1!$C19-Foglio1!$D19/(Foglio1!$E19+Foglio2!BA$89))*Foglio2!BA99/Foglio1!$D$5</f>
        <v>0</v>
      </c>
      <c r="BB109">
        <f>EXP(Foglio1!$C19-Foglio1!$D19/(Foglio1!$E19+Foglio2!BB$89))*Foglio2!BB99/Foglio1!$D$5</f>
        <v>0</v>
      </c>
      <c r="BC109">
        <f>EXP(Foglio1!$C19-Foglio1!$D19/(Foglio1!$E19+Foglio2!BC$89))*Foglio2!BC99/Foglio1!$D$5</f>
        <v>0</v>
      </c>
      <c r="BD109">
        <f>EXP(Foglio1!$C19-Foglio1!$D19/(Foglio1!$E19+Foglio2!BD$89))*Foglio2!BD99/Foglio1!$D$5</f>
        <v>0</v>
      </c>
      <c r="BE109">
        <f>EXP(Foglio1!$C19-Foglio1!$D19/(Foglio1!$E19+Foglio2!BE$89))*Foglio2!BE99/Foglio1!$D$5</f>
        <v>0</v>
      </c>
      <c r="BF109">
        <f>EXP(Foglio1!$C19-Foglio1!$D19/(Foglio1!$E19+Foglio2!BF$89))*Foglio2!BF99/Foglio1!$D$5</f>
        <v>0</v>
      </c>
      <c r="BG109">
        <f>EXP(Foglio1!$C19-Foglio1!$D19/(Foglio1!$E19+Foglio2!BG$89))*Foglio2!BG99/Foglio1!$D$5</f>
        <v>0</v>
      </c>
      <c r="BH109">
        <f>EXP(Foglio1!$C19-Foglio1!$D19/(Foglio1!$E19+Foglio2!BH$89))*Foglio2!BH99/Foglio1!$D$5</f>
        <v>0</v>
      </c>
      <c r="BI109">
        <f>EXP(Foglio1!$C19-Foglio1!$D19/(Foglio1!$E19+Foglio2!BI$89))*Foglio2!BI99/Foglio1!$D$5</f>
        <v>0</v>
      </c>
      <c r="BJ109">
        <f>EXP(Foglio1!$C19-Foglio1!$D19/(Foglio1!$E19+Foglio2!BJ$89))*Foglio2!BJ99/Foglio1!$D$5</f>
        <v>0</v>
      </c>
      <c r="BK109">
        <f>EXP(Foglio1!$C19-Foglio1!$D19/(Foglio1!$E19+Foglio2!BK$89))*Foglio2!BK99/Foglio1!$D$5</f>
        <v>0</v>
      </c>
      <c r="BL109">
        <f>EXP(Foglio1!$C19-Foglio1!$D19/(Foglio1!$E19+Foglio2!BL$89))*Foglio2!BL99/Foglio1!$D$5</f>
        <v>0</v>
      </c>
      <c r="BM109">
        <f>EXP(Foglio1!$C19-Foglio1!$D19/(Foglio1!$E19+Foglio2!BM$89))*Foglio2!BM99/Foglio1!$D$5</f>
        <v>0</v>
      </c>
      <c r="BN109">
        <f>EXP(Foglio1!$C19-Foglio1!$D19/(Foglio1!$E19+Foglio2!BN$89))*Foglio2!BN99/Foglio1!$D$5</f>
        <v>0</v>
      </c>
      <c r="BO109">
        <f>EXP(Foglio1!$C19-Foglio1!$D19/(Foglio1!$E19+Foglio2!BO$89))*Foglio2!BO99/Foglio1!$D$5</f>
        <v>0</v>
      </c>
      <c r="BP109">
        <f>EXP(Foglio1!$C19-Foglio1!$D19/(Foglio1!$E19+Foglio2!BP$89))*Foglio2!BP99/Foglio1!$D$5</f>
        <v>0</v>
      </c>
      <c r="BQ109">
        <f>EXP(Foglio1!$C19-Foglio1!$D19/(Foglio1!$E19+Foglio2!BQ$89))*Foglio2!BQ99/Foglio1!$D$5</f>
        <v>0</v>
      </c>
      <c r="BR109">
        <f>EXP(Foglio1!$C19-Foglio1!$D19/(Foglio1!$E19+Foglio2!BR$89))*Foglio2!BR99/Foglio1!$D$5</f>
        <v>0</v>
      </c>
      <c r="BS109">
        <f>EXP(Foglio1!$C19-Foglio1!$D19/(Foglio1!$E19+Foglio2!BS$89))*Foglio2!BS99/Foglio1!$D$5</f>
        <v>0</v>
      </c>
      <c r="BT109">
        <f>EXP(Foglio1!$C19-Foglio1!$D19/(Foglio1!$E19+Foglio2!BT$89))*Foglio2!BT99/Foglio1!$D$5</f>
        <v>0</v>
      </c>
      <c r="BU109">
        <f>EXP(Foglio1!$C19-Foglio1!$D19/(Foglio1!$E19+Foglio2!BU$89))*Foglio2!BU99/Foglio1!$D$5</f>
        <v>0</v>
      </c>
      <c r="BV109">
        <f>EXP(Foglio1!$C19-Foglio1!$D19/(Foglio1!$E19+Foglio2!BV$89))*Foglio2!BV99/Foglio1!$D$5</f>
        <v>0</v>
      </c>
      <c r="BW109">
        <f>EXP(Foglio1!$C19-Foglio1!$D19/(Foglio1!$E19+Foglio2!BW$89))*Foglio2!BW99/Foglio1!$D$5</f>
        <v>0</v>
      </c>
      <c r="BX109">
        <f>EXP(Foglio1!$C19-Foglio1!$D19/(Foglio1!$E19+Foglio2!BX$89))*Foglio2!BX99/Foglio1!$D$5</f>
        <v>0</v>
      </c>
      <c r="BY109">
        <f>EXP(Foglio1!$C19-Foglio1!$D19/(Foglio1!$E19+Foglio2!BY$89))*Foglio2!BY99/Foglio1!$D$5</f>
        <v>0</v>
      </c>
      <c r="BZ109">
        <f>EXP(Foglio1!$C19-Foglio1!$D19/(Foglio1!$E19+Foglio2!BZ$89))*Foglio2!BZ99/Foglio1!$D$5</f>
        <v>0</v>
      </c>
      <c r="CA109">
        <f>EXP(Foglio1!$C19-Foglio1!$D19/(Foglio1!$E19+Foglio2!CA$89))*Foglio2!CA99/Foglio1!$D$5</f>
        <v>0</v>
      </c>
      <c r="CB109">
        <f>EXP(Foglio1!$C19-Foglio1!$D19/(Foglio1!$E19+Foglio2!CB$89))*Foglio2!CB99/Foglio1!$D$5</f>
        <v>0</v>
      </c>
      <c r="CC109">
        <f>EXP(Foglio1!$C19-Foglio1!$D19/(Foglio1!$E19+Foglio2!CC$89))*Foglio2!CC99/Foglio1!$D$5</f>
        <v>0</v>
      </c>
      <c r="CD109">
        <f>EXP(Foglio1!$C19-Foglio1!$D19/(Foglio1!$E19+Foglio2!CD$89))*Foglio2!CD99/Foglio1!$D$5</f>
        <v>0</v>
      </c>
      <c r="CE109">
        <f>EXP(Foglio1!$C19-Foglio1!$D19/(Foglio1!$E19+Foglio2!CE$89))*Foglio2!CE99/Foglio1!$D$5</f>
        <v>0</v>
      </c>
      <c r="CF109">
        <f>EXP(Foglio1!$C19-Foglio1!$D19/(Foglio1!$E19+Foglio2!CF$89))*Foglio2!CF99/Foglio1!$D$5</f>
        <v>0</v>
      </c>
    </row>
    <row r="110" spans="34:84" x14ac:dyDescent="0.25">
      <c r="AH110" t="s">
        <v>76</v>
      </c>
      <c r="AI110">
        <f>SUM(AI100:AI109)</f>
        <v>2.0518281042017104</v>
      </c>
      <c r="AJ110">
        <f t="shared" ref="AJ110:AP110" si="43">SUM(AJ100:AJ109)</f>
        <v>0.64021577849229705</v>
      </c>
      <c r="AK110">
        <f t="shared" si="43"/>
        <v>1.2041640664105995</v>
      </c>
      <c r="AL110">
        <f t="shared" si="43"/>
        <v>0.89037567827140662</v>
      </c>
      <c r="AM110">
        <f t="shared" si="43"/>
        <v>1.0388406199893887</v>
      </c>
      <c r="AN110">
        <f t="shared" si="43"/>
        <v>0.96255928293630311</v>
      </c>
      <c r="AO110">
        <f t="shared" si="43"/>
        <v>1.0001803587317033</v>
      </c>
      <c r="AP110">
        <f t="shared" si="43"/>
        <v>0.98124084048413751</v>
      </c>
      <c r="AQ110">
        <f t="shared" ref="AQ110:CF110" si="44">SUM(AQ100:AQ109)</f>
        <v>0.99067823952288747</v>
      </c>
      <c r="AR110">
        <f t="shared" si="44"/>
        <v>0.99542119475459878</v>
      </c>
      <c r="AS110">
        <f t="shared" si="44"/>
        <v>0.99779874885751196</v>
      </c>
      <c r="AT110">
        <f t="shared" si="44"/>
        <v>0.99898904659923127</v>
      </c>
      <c r="AU110">
        <f t="shared" si="44"/>
        <v>0.99958457583863436</v>
      </c>
      <c r="AV110">
        <f t="shared" si="44"/>
        <v>0.99988243557496193</v>
      </c>
      <c r="AW110">
        <f t="shared" si="44"/>
        <v>1.0000313892253425</v>
      </c>
      <c r="AX110">
        <f t="shared" si="44"/>
        <v>0.99995691041821044</v>
      </c>
      <c r="AY110">
        <f t="shared" si="44"/>
        <v>0.99999414932628472</v>
      </c>
      <c r="AZ110">
        <f t="shared" si="44"/>
        <v>1.0000127691519394</v>
      </c>
      <c r="BA110">
        <f t="shared" si="44"/>
        <v>1.0000034592081428</v>
      </c>
      <c r="BB110">
        <f t="shared" si="44"/>
        <v>0.99999880425947152</v>
      </c>
      <c r="BC110">
        <f t="shared" si="44"/>
        <v>1.0000011317318724</v>
      </c>
      <c r="BD110">
        <f t="shared" si="44"/>
        <v>0.99999996799518742</v>
      </c>
      <c r="BE110">
        <f t="shared" si="44"/>
        <v>1.000000549863409</v>
      </c>
      <c r="BF110">
        <f t="shared" si="44"/>
        <v>1.0000002589292676</v>
      </c>
      <c r="BG110">
        <f t="shared" si="44"/>
        <v>1.0000001134622205</v>
      </c>
      <c r="BH110">
        <f t="shared" si="44"/>
        <v>1.0000000407287022</v>
      </c>
      <c r="BI110">
        <f t="shared" si="44"/>
        <v>1.0000000043619441</v>
      </c>
      <c r="BJ110">
        <f t="shared" si="44"/>
        <v>0.99999998617856634</v>
      </c>
      <c r="BK110">
        <f t="shared" si="44"/>
        <v>0.99999999527025507</v>
      </c>
      <c r="BL110">
        <f t="shared" si="44"/>
        <v>0.99999999981610044</v>
      </c>
      <c r="BM110">
        <f t="shared" si="44"/>
        <v>1.0000000020890214</v>
      </c>
      <c r="BN110">
        <f t="shared" si="44"/>
        <v>1.0000000009525611</v>
      </c>
      <c r="BO110">
        <f t="shared" si="44"/>
        <v>1.0000000003843297</v>
      </c>
      <c r="BP110">
        <f t="shared" si="44"/>
        <v>1.0000000001002154</v>
      </c>
      <c r="BQ110">
        <f t="shared" si="44"/>
        <v>0.99999999995815747</v>
      </c>
      <c r="BR110">
        <f t="shared" si="44"/>
        <v>1.0000000000291869</v>
      </c>
      <c r="BS110">
        <f t="shared" si="44"/>
        <v>0.99999999999367184</v>
      </c>
      <c r="BT110">
        <f t="shared" si="44"/>
        <v>1.0000000000114293</v>
      </c>
      <c r="BU110">
        <f t="shared" si="44"/>
        <v>1.0000000000025508</v>
      </c>
      <c r="BV110">
        <f t="shared" si="44"/>
        <v>0.99999999999811129</v>
      </c>
      <c r="BW110">
        <f t="shared" si="44"/>
        <v>1.0000000000003311</v>
      </c>
      <c r="BX110">
        <f t="shared" si="44"/>
        <v>0.99999999999922062</v>
      </c>
      <c r="BY110">
        <f t="shared" si="44"/>
        <v>0.99999999999977573</v>
      </c>
      <c r="BZ110">
        <f t="shared" si="44"/>
        <v>1.0000000000000533</v>
      </c>
      <c r="CA110">
        <f t="shared" si="44"/>
        <v>0.99999999999991473</v>
      </c>
      <c r="CB110">
        <f t="shared" si="44"/>
        <v>0.99999999999998379</v>
      </c>
      <c r="CC110">
        <f t="shared" si="44"/>
        <v>1.0000000000000193</v>
      </c>
      <c r="CD110">
        <f t="shared" si="44"/>
        <v>1.0000000000000018</v>
      </c>
      <c r="CE110">
        <f t="shared" si="44"/>
        <v>1.0000000000000107</v>
      </c>
      <c r="CF110">
        <f t="shared" si="44"/>
        <v>1.0000000000000053</v>
      </c>
    </row>
    <row r="117" spans="1:103" x14ac:dyDescent="0.25">
      <c r="A117">
        <v>1</v>
      </c>
      <c r="B117">
        <v>2</v>
      </c>
      <c r="C117">
        <v>3</v>
      </c>
      <c r="D117">
        <v>4</v>
      </c>
      <c r="E117">
        <v>5</v>
      </c>
      <c r="F117">
        <v>6</v>
      </c>
      <c r="G117">
        <v>7</v>
      </c>
      <c r="H117">
        <v>8</v>
      </c>
      <c r="I117">
        <v>9</v>
      </c>
      <c r="J117">
        <v>10</v>
      </c>
      <c r="K117">
        <v>11</v>
      </c>
      <c r="L117">
        <v>12</v>
      </c>
      <c r="M117">
        <v>13</v>
      </c>
      <c r="N117">
        <v>14</v>
      </c>
      <c r="O117">
        <v>15</v>
      </c>
      <c r="P117">
        <v>16</v>
      </c>
      <c r="Q117">
        <v>17</v>
      </c>
      <c r="R117">
        <v>18</v>
      </c>
      <c r="S117">
        <v>19</v>
      </c>
      <c r="T117">
        <v>20</v>
      </c>
      <c r="U117">
        <v>21</v>
      </c>
      <c r="V117">
        <v>22</v>
      </c>
      <c r="W117">
        <v>23</v>
      </c>
      <c r="X117">
        <v>24</v>
      </c>
      <c r="Y117">
        <v>25</v>
      </c>
      <c r="Z117">
        <v>26</v>
      </c>
      <c r="AA117">
        <v>27</v>
      </c>
      <c r="AB117">
        <v>28</v>
      </c>
      <c r="AC117">
        <v>29</v>
      </c>
      <c r="AD117">
        <v>30</v>
      </c>
      <c r="AE117">
        <v>31</v>
      </c>
      <c r="AF117">
        <v>32</v>
      </c>
      <c r="AG117">
        <v>33</v>
      </c>
      <c r="AH117">
        <v>34</v>
      </c>
      <c r="AI117">
        <v>35</v>
      </c>
      <c r="AJ117">
        <v>36</v>
      </c>
      <c r="AK117">
        <v>37</v>
      </c>
      <c r="AL117">
        <v>38</v>
      </c>
      <c r="AM117">
        <v>39</v>
      </c>
      <c r="AN117">
        <v>40</v>
      </c>
      <c r="AO117">
        <v>41</v>
      </c>
      <c r="AP117">
        <v>42</v>
      </c>
      <c r="AQ117">
        <v>43</v>
      </c>
      <c r="AR117">
        <v>44</v>
      </c>
      <c r="AS117">
        <v>45</v>
      </c>
      <c r="AT117">
        <v>46</v>
      </c>
      <c r="AU117">
        <v>47</v>
      </c>
      <c r="AV117">
        <v>48</v>
      </c>
      <c r="AW117">
        <v>49</v>
      </c>
      <c r="AX117">
        <v>50</v>
      </c>
      <c r="AY117">
        <v>51</v>
      </c>
      <c r="AZ117">
        <v>52</v>
      </c>
      <c r="BA117">
        <v>53</v>
      </c>
      <c r="BB117">
        <v>54</v>
      </c>
      <c r="BC117">
        <v>55</v>
      </c>
      <c r="BD117">
        <v>56</v>
      </c>
      <c r="BE117">
        <v>57</v>
      </c>
      <c r="BF117">
        <v>58</v>
      </c>
      <c r="BG117">
        <v>59</v>
      </c>
      <c r="BH117">
        <v>60</v>
      </c>
      <c r="BI117">
        <v>61</v>
      </c>
      <c r="BJ117">
        <v>62</v>
      </c>
      <c r="BK117">
        <v>63</v>
      </c>
      <c r="BL117">
        <v>64</v>
      </c>
      <c r="BM117">
        <v>65</v>
      </c>
      <c r="BN117">
        <v>66</v>
      </c>
      <c r="BO117">
        <v>67</v>
      </c>
      <c r="BP117">
        <v>68</v>
      </c>
      <c r="BQ117">
        <v>69</v>
      </c>
      <c r="BR117">
        <v>70</v>
      </c>
      <c r="BS117">
        <v>71</v>
      </c>
      <c r="BT117">
        <v>72</v>
      </c>
      <c r="BU117">
        <v>73</v>
      </c>
      <c r="BV117">
        <v>74</v>
      </c>
      <c r="BW117">
        <v>75</v>
      </c>
      <c r="BX117">
        <v>76</v>
      </c>
      <c r="BY117">
        <v>77</v>
      </c>
      <c r="BZ117">
        <v>78</v>
      </c>
      <c r="CA117">
        <v>79</v>
      </c>
      <c r="CB117">
        <v>80</v>
      </c>
      <c r="CC117">
        <v>81</v>
      </c>
      <c r="CD117">
        <v>82</v>
      </c>
      <c r="CE117">
        <v>83</v>
      </c>
      <c r="CF117">
        <v>84</v>
      </c>
      <c r="CG117">
        <v>85</v>
      </c>
      <c r="CH117">
        <v>86</v>
      </c>
      <c r="CI117">
        <v>87</v>
      </c>
      <c r="CJ117">
        <v>88</v>
      </c>
      <c r="CK117">
        <v>89</v>
      </c>
      <c r="CL117">
        <v>90</v>
      </c>
      <c r="CM117">
        <v>91</v>
      </c>
      <c r="CN117">
        <v>92</v>
      </c>
      <c r="CO117">
        <v>93</v>
      </c>
      <c r="CP117">
        <v>94</v>
      </c>
      <c r="CQ117">
        <v>95</v>
      </c>
      <c r="CR117">
        <v>96</v>
      </c>
      <c r="CS117">
        <v>97</v>
      </c>
      <c r="CT117">
        <v>98</v>
      </c>
      <c r="CU117">
        <v>99</v>
      </c>
      <c r="CV117">
        <v>100</v>
      </c>
      <c r="CW117">
        <v>101</v>
      </c>
      <c r="CX117">
        <v>102</v>
      </c>
      <c r="CY117">
        <v>103</v>
      </c>
    </row>
  </sheetData>
  <mergeCells count="4">
    <mergeCell ref="AH1:AP2"/>
    <mergeCell ref="AH29:AP30"/>
    <mergeCell ref="AH56:AP57"/>
    <mergeCell ref="AH84:AP8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Foglio1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2019-11-06T13:53:38Z</dcterms:created>
  <dcterms:modified xsi:type="dcterms:W3CDTF">2020-02-03T18:07:41Z</dcterms:modified>
</cp:coreProperties>
</file>